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esign" sheetId="2" state="visible" r:id="rId4"/>
    <sheet name="Stroke scenarios" sheetId="3" state="visible" r:id="rId5"/>
    <sheet name="Wedge and pressure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<sst xmlns="http://schemas.openxmlformats.org/spreadsheetml/2006/main" count="267" uniqueCount="185">
  <si>
    <t xml:space="preserve">Design inputs: change the blue cells</t>
  </si>
  <si>
    <t xml:space="preserve">Yellow = measurement still pending; replace when measured.</t>
  </si>
  <si>
    <t xml:space="preserve">Input</t>
  </si>
  <si>
    <t xml:space="preserve">Value</t>
  </si>
  <si>
    <t xml:space="preserve">Unit</t>
  </si>
  <si>
    <t xml:space="preserve">Source / status</t>
  </si>
  <si>
    <t xml:space="preserve">Release stroke at the drawbar, s_r</t>
  </si>
  <si>
    <t xml:space="preserve">mm</t>
  </si>
  <si>
    <t xml:space="preserve">Assumed; replace with the release test (sheet section 5)</t>
  </si>
  <si>
    <t xml:space="preserve">Running gap, anvil to push pad</t>
  </si>
  <si>
    <t xml:space="preserve">Design choice (anvil lift springs)</t>
  </si>
  <si>
    <t xml:space="preserve">Preload target, W</t>
  </si>
  <si>
    <t xml:space="preserve">kN</t>
  </si>
  <si>
    <t xml:space="preserve">Hoss guidance 6.7-8.9 kN for TTS on small mills</t>
  </si>
  <si>
    <t xml:space="preserve">Collet push-out force, P</t>
  </si>
  <si>
    <t xml:space="preserve">Assumed; first feel from the taper break test</t>
  </si>
  <si>
    <t xml:space="preserve">Washer flat load</t>
  </si>
  <si>
    <t xml:space="preserve">Tormach 31319 not published: Solon 7H89 rate (23.6 kN/mm) x 0.6 mm h0</t>
  </si>
  <si>
    <t xml:space="preserve">Washer cone height, h0</t>
  </si>
  <si>
    <t xml:space="preserve">Tormach 31319, measured by viking45 (2.9 - 2.3 mm)</t>
  </si>
  <si>
    <t xml:space="preserve">Washer free height, l0</t>
  </si>
  <si>
    <t xml:space="preserve">Tormach 31319, measured by viking45; measure your own</t>
  </si>
  <si>
    <t xml:space="preserve">Release deflection limit</t>
  </si>
  <si>
    <t xml:space="preserve">x h0</t>
  </si>
  <si>
    <t xml:space="preserve">Keeps the washers off flat; Tormach runs them deep</t>
  </si>
  <si>
    <t xml:space="preserve">Washers fitted, n</t>
  </si>
  <si>
    <t xml:space="preserve">pcs</t>
  </si>
  <si>
    <t xml:space="preserve">Locked: 8 x genuine Tormach 31319, as Tormach fits</t>
  </si>
  <si>
    <t xml:space="preserve">Washer mass each</t>
  </si>
  <si>
    <t xml:space="preserve">g</t>
  </si>
  <si>
    <t xml:space="preserve">Calculated from 31319 dimensions</t>
  </si>
  <si>
    <t xml:space="preserve">Washer unit price</t>
  </si>
  <si>
    <t xml:space="preserve">US$</t>
  </si>
  <si>
    <t xml:space="preserve">Tormach 31319 listed price</t>
  </si>
  <si>
    <t xml:space="preserve">Washers to buy</t>
  </si>
  <si>
    <t xml:space="preserve">Two Tormach sets of 8: stack plus spares</t>
  </si>
  <si>
    <t xml:space="preserve">Cylinder bore</t>
  </si>
  <si>
    <t xml:space="preserve">SDA 80 x 25 (owned)</t>
  </si>
  <si>
    <t xml:space="preserve">Cylinder stroke</t>
  </si>
  <si>
    <t xml:space="preserve">Cylinder rod diameter</t>
  </si>
  <si>
    <t xml:space="preserve">Measured 28 Oct 2026</t>
  </si>
  <si>
    <t xml:space="preserve">Regulator setting</t>
  </si>
  <si>
    <t xml:space="preserve">bar</t>
  </si>
  <si>
    <t xml:space="preserve">Design setting</t>
  </si>
  <si>
    <t xml:space="preserve">Supply pressure, maximum</t>
  </si>
  <si>
    <t xml:space="preserve">90 psi supply</t>
  </si>
  <si>
    <t xml:space="preserve">Wedge angle</t>
  </si>
  <si>
    <t xml:space="preserve">deg</t>
  </si>
  <si>
    <t xml:space="preserve">Design: tan 9.5 deg is about 1/6</t>
  </si>
  <si>
    <t xml:space="preserve">Wedge efficiency (rolling)</t>
  </si>
  <si>
    <t xml:space="preserve">Assumed; rollers make friction small</t>
  </si>
  <si>
    <t xml:space="preserve">Collar axial holding, estimate</t>
  </si>
  <si>
    <t xml:space="preserve">Estimate for two-piece collar, 3 x M8 12.9 per side</t>
  </si>
  <si>
    <t xml:space="preserve">Drawbar tip to spindle end face, H</t>
  </si>
  <si>
    <t xml:space="preserve">From existing drawbar; confirm with new collet (sheet 3.5)</t>
  </si>
  <si>
    <t xml:space="preserve">Lower thread length, L1</t>
  </si>
  <si>
    <t xml:space="preserve">Collet thread depth + 3; placeholder (sheet 3.7)</t>
  </si>
  <si>
    <t xml:space="preserve">Collar shoulder thickness</t>
  </si>
  <si>
    <t xml:space="preserve">Collar design</t>
  </si>
  <si>
    <t xml:space="preserve">Base thrust washer</t>
  </si>
  <si>
    <t xml:space="preserve">Design</t>
  </si>
  <si>
    <t xml:space="preserve">Top thrust washer</t>
  </si>
  <si>
    <t xml:space="preserve">Top thread length</t>
  </si>
  <si>
    <t xml:space="preserve">Nut, jam nut, adjustment, pad</t>
  </si>
  <si>
    <t xml:space="preserve">Roller diameter</t>
  </si>
  <si>
    <t xml:space="preserve">Dowel pins, ISO 8734, 58-62 HRC (purchased)</t>
  </si>
  <si>
    <t xml:space="preserve">Roller contact length (flat, between end chamfers)</t>
  </si>
  <si>
    <t xml:space="preserve">36 mm pins; measure the flat length and enter it</t>
  </si>
  <si>
    <t xml:space="preserve">Rollers per face</t>
  </si>
  <si>
    <t xml:space="preserve">Young's modulus, steel</t>
  </si>
  <si>
    <t xml:space="preserve">GPa</t>
  </si>
  <si>
    <t xml:space="preserve">Standard value</t>
  </si>
  <si>
    <t xml:space="preserve">Poisson's ratio, steel</t>
  </si>
  <si>
    <t xml:space="preserve">Track yield, hardened 4140 (wedge, anvil)</t>
  </si>
  <si>
    <t xml:space="preserve">MPa</t>
  </si>
  <si>
    <t xml:space="preserve">Atlas 4140 datasheet: yield above 1380 MPa when tempered 175-230 C</t>
  </si>
  <si>
    <t xml:space="preserve">Track yield, 4140 as supplied</t>
  </si>
  <si>
    <t xml:space="preserve">Atlas 4140 datasheet: condition U, 0.2% proof 740 MPa min (bar to 180 mm)</t>
  </si>
  <si>
    <t xml:space="preserve">Line-contact first yield, p0 / yield</t>
  </si>
  <si>
    <t xml:space="preserve">Johnson, Contact Mechanics (1985), von Mises; from memory</t>
  </si>
  <si>
    <t xml:space="preserve">Wedge thickness at the trailing end</t>
  </si>
  <si>
    <t xml:space="preserve">Wedge drawing</t>
  </si>
  <si>
    <t xml:space="preserve">Hole centre below the wedge top</t>
  </si>
  <si>
    <t xml:space="preserve">Wedge drawing (centred)</t>
  </si>
  <si>
    <t xml:space="preserve">Rod-joint thread, major diameter</t>
  </si>
  <si>
    <t xml:space="preserve">M14 x 1.5 (rod re-measured 29 Oct 2026; SMC JA40-14-150)</t>
  </si>
  <si>
    <t xml:space="preserve">Thread depth in the wedge</t>
  </si>
  <si>
    <t xml:space="preserve">Tap drill diameter</t>
  </si>
  <si>
    <t xml:space="preserve">M14 x 1.5 tap drill</t>
  </si>
  <si>
    <t xml:space="preserve">Drill depth</t>
  </si>
  <si>
    <t xml:space="preserve">Roof wear plate thickness</t>
  </si>
  <si>
    <t xml:space="preserve">O1 40 x 5 ground flat stock (ordered 29 Oct 2026)</t>
  </si>
  <si>
    <t xml:space="preserve">Hard stop beyond the release stroke</t>
  </si>
  <si>
    <t xml:space="preserve">Design: stop at s_r + 0.3</t>
  </si>
  <si>
    <t xml:space="preserve">Design results for the current inputs</t>
  </si>
  <si>
    <t xml:space="preserve">All formulas; washer force taken as linear, flat load / h0 (Solon 7H89 at low cone height).</t>
  </si>
  <si>
    <t xml:space="preserve">Result</t>
  </si>
  <si>
    <t xml:space="preserve">Check</t>
  </si>
  <si>
    <t xml:space="preserve">Mechanical advantage, 1/tan(angle)</t>
  </si>
  <si>
    <t xml:space="preserve">Washer rate, per washer</t>
  </si>
  <si>
    <t xml:space="preserve">kN/mm</t>
  </si>
  <si>
    <t xml:space="preserve">Preload deflection per washer</t>
  </si>
  <si>
    <t xml:space="preserve">Preload deflection</t>
  </si>
  <si>
    <t xml:space="preserve">Washers needed for the limit at this stroke</t>
  </si>
  <si>
    <t xml:space="preserve">Release deflection per washer</t>
  </si>
  <si>
    <t xml:space="preserve">Release deflection</t>
  </si>
  <si>
    <t xml:space="preserve">Stack force at release</t>
  </si>
  <si>
    <t xml:space="preserve">Required at drawbar, incl. P</t>
  </si>
  <si>
    <t xml:space="preserve">Bore area</t>
  </si>
  <si>
    <t xml:space="preserve">mm2</t>
  </si>
  <si>
    <t xml:space="preserve">Cylinder push at regulator</t>
  </si>
  <si>
    <t xml:space="preserve">Drawbar force available</t>
  </si>
  <si>
    <t xml:space="preserve">Release margin</t>
  </si>
  <si>
    <t xml:space="preserve">Expected release pressure</t>
  </si>
  <si>
    <t xml:space="preserve">Wedge (cylinder) travel needed</t>
  </si>
  <si>
    <t xml:space="preserve">Largest stroke the cylinder covers</t>
  </si>
  <si>
    <t xml:space="preserve">Stack free length</t>
  </si>
  <si>
    <t xml:space="preserve">Stack preloaded length (set to this)</t>
  </si>
  <si>
    <t xml:space="preserve">Top thrust washer top above spindle face</t>
  </si>
  <si>
    <t xml:space="preserve">Drawbar overall length</t>
  </si>
  <si>
    <t xml:space="preserve">Guide section length (11.2 mm)</t>
  </si>
  <si>
    <t xml:space="preserve">Body length (11.0 mm)</t>
  </si>
  <si>
    <t xml:space="preserve">Cylinder push at full supply</t>
  </si>
  <si>
    <t xml:space="preserve">Stuck-collet collar load at regulator</t>
  </si>
  <si>
    <t xml:space="preserve">Collar margin at regulator</t>
  </si>
  <si>
    <t xml:space="preserve">x</t>
  </si>
  <si>
    <t xml:space="preserve">Stuck-collet collar load at full supply</t>
  </si>
  <si>
    <t xml:space="preserve">Collar margin at full supply</t>
  </si>
  <si>
    <t xml:space="preserve">Wedge travel to the hard stop</t>
  </si>
  <si>
    <t xml:space="preserve">Cage travel at the hard stop (half the wedge)</t>
  </si>
  <si>
    <t xml:space="preserve">Drawbar force at full supply</t>
  </si>
  <si>
    <t xml:space="preserve">Normal load on each roller face, full supply</t>
  </si>
  <si>
    <t xml:space="preserve">Contact modulus E*</t>
  </si>
  <si>
    <t xml:space="preserve">Hertz peak, rollers sharing, at regulator</t>
  </si>
  <si>
    <t xml:space="preserve">Hertz peak, rollers sharing, full supply</t>
  </si>
  <si>
    <t xml:space="preserve">Hertz peak, one roller takes all, full supply</t>
  </si>
  <si>
    <t xml:space="preserve">First-yield contact pressure, hardened 4140</t>
  </si>
  <si>
    <t xml:space="preserve">Margin, one roller takes all, hardened</t>
  </si>
  <si>
    <t xml:space="preserve">First-yield contact pressure, 4140 as supplied</t>
  </si>
  <si>
    <t xml:space="preserve">Margin, rollers sharing, as supplied</t>
  </si>
  <si>
    <t xml:space="preserve">Wedge hole: wall to the slope at thread bottom</t>
  </si>
  <si>
    <t xml:space="preserve">Wedge hole: wall to the slope at drill bottom</t>
  </si>
  <si>
    <t xml:space="preserve">Wedge hole: wall to the top face</t>
  </si>
  <si>
    <t xml:space="preserve">Roof block height to keep the plate face fixed</t>
  </si>
  <si>
    <t xml:space="preserve">Anvil forward thrust, full supply</t>
  </si>
  <si>
    <t xml:space="preserve">Free air per release</t>
  </si>
  <si>
    <t xml:space="preserve">L</t>
  </si>
  <si>
    <t xml:space="preserve">Stack mass</t>
  </si>
  <si>
    <t xml:space="preserve">Washer cost</t>
  </si>
  <si>
    <t xml:space="preserve">Performance of the fitted stack by release stroke</t>
  </si>
  <si>
    <t xml:space="preserve">Uses the washer count fitted on Inputs (8). Release beyond the deflection limit or a negative margin means: fit a genuine Tormach collet or raise the regulator.</t>
  </si>
  <si>
    <t xml:space="preserve">Release stroke (mm)</t>
  </si>
  <si>
    <t xml:space="preserve">Washers fitted</t>
  </si>
  <si>
    <t xml:space="preserve">Release deflection (x h0)</t>
  </si>
  <si>
    <t xml:space="preserve">Release force (kN)</t>
  </si>
  <si>
    <t xml:space="preserve">Required at drawbar (kN)</t>
  </si>
  <si>
    <t xml:space="preserve">Margin at regulator</t>
  </si>
  <si>
    <t xml:space="preserve">Expected release pressure (bar)</t>
  </si>
  <si>
    <t xml:space="preserve">Preloaded stack (mm)</t>
  </si>
  <si>
    <t xml:space="preserve">Drawbar length (mm)</t>
  </si>
  <si>
    <t xml:space="preserve">Cylinder travel (mm)</t>
  </si>
  <si>
    <t xml:space="preserve">Within deflection limit?</t>
  </si>
  <si>
    <t xml:space="preserve">Margin at 5.5 bar</t>
  </si>
  <si>
    <t xml:space="preserve">Wedge angle and regulator options</t>
  </si>
  <si>
    <t xml:space="preserve">Release margin uses the required drawbar force from Design; collar load is the stuck-collet case.</t>
  </si>
  <si>
    <t xml:space="preserve">Drawbar force available (kN)</t>
  </si>
  <si>
    <t xml:space="preserve">Wedge angle (deg) \ bar</t>
  </si>
  <si>
    <t xml:space="preserve">Release margin over required drawbar force</t>
  </si>
  <si>
    <t xml:space="preserve">Stuck-collet collar load (kN)</t>
  </si>
  <si>
    <t xml:space="preserve">Collar margin (estimated holding / load)</t>
  </si>
  <si>
    <t xml:space="preserve">Wedge travel needed for the current stroke (mm), of 25</t>
  </si>
  <si>
    <t xml:space="preserve">Current design: 9.5 deg (about 6:1) at 5.0 bar. Aim for release margin of at least 10% and collar margin of at least 2.</t>
  </si>
  <si>
    <t xml:space="preserve">Notes and sources</t>
  </si>
  <si>
    <t xml:space="preserve">Washers: 8 x genuine Tormach 31319 (30.2 x 11.4 x 2.3 mm, US$4.95, sets of 8). Load not published; rate taken from the same-size Solon 7H89177 (15.1 kN flat at 0.64 mm). https://www.solonmfg.com/7h89177</t>
  </si>
  <si>
    <t xml:space="preserve">Tormach 31319 product page: https://tormach.com/power-drawbar-spring-washer-31319.html ; free height 2.9 mm measured by viking45 (CNCArena).</t>
  </si>
  <si>
    <t xml:space="preserve">Tormach PCNC 1100 power drawbar uses 8 x 31319. https://tormach.com/media/asset/t/d/td10039_pcnc1100_powerdrawbar_1119a.pdf</t>
  </si>
  <si>
    <t xml:space="preserve">Washer force is modelled as linear (flat load / h0); real Belleville curves are slightly regressive, so forces near flat are a little high here.</t>
  </si>
  <si>
    <t xml:space="preserve">Collar holding (14 kN) is an engineering estimate, not a published rating; verify with the witness line.</t>
  </si>
  <si>
    <t xml:space="preserve">Hertz line contact: p = sqrt(F E* / (pi L R)), E* = E / (2(1 - nu^2)); F per roller = normal face load / rollers per face. Enter the measured flat length of the pins as L.</t>
  </si>
  <si>
    <t xml:space="preserve">Wedge geometry: drawbar force = cylinder force / tan(angle) x efficiency; anvil forward thrust = drawbar force x tan(angle), taken by the rear thrust bar (bronze faced).</t>
  </si>
  <si>
    <t xml:space="preserve">Stack heights exclude the nut and pad; drawbar length = H + shoulder + base washer + preloaded stack + top washer + top thread.</t>
  </si>
  <si>
    <t xml:space="preserve">Contact check (29 Oct 2026): first yield of a line contact at p0 = 1.79 x yield (von Mises; Johnson 1985, from memory). Wedge and anvil are 4140 hardened and tempered at about 200 C (Atlas: yield above 1380 MPa). https://atlassteels.com.au/wp-content/uploads/2021/09/Through-Hardening-Low-Alloy-Steel-Bar-4140-Grade-Data-Sheet-10-09-21-1.pdf</t>
  </si>
  <si>
    <t xml:space="preserve">Floating joint SMC JA40-14-150, 4400 N max tension/compression. https://static.smc.eu/pdf/JA-A_EU.pdf . Wedge M14 x 1.5 hole kept to 14 deep thread, 18 deep drill so the 9.5 deg slope leaves at least about 2.4 mm wall; the JA nut bears on the end face.</t>
  </si>
  <si>
    <t xml:space="preserve">Yellow inputs are pending measurements or unpublished data: release stroke, push-out force, washer rate and heights, rod diameter, H and L1.</t>
  </si>
  <si>
    <t xml:space="preserve">If release needs more stroke than the 8-washer stack allows, fit a genuine Tormach collet before adding washers (design decision 28 Oct 2026).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</si>
</sst>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.000"/>
    <numFmt numFmtId="168" formatCode="0"/>
    <numFmt numFmtId="169" formatCode="0%"/>
    <numFmt numFmtId="170" formatCode="\$#,##0.00"/>
    <numFmt numFmtId="171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1.2</v>
      </c>
      <c r="C4" s="4" t="s">
        <v>7</v>
      </c>
      <c r="D4" s="6" t="s">
        <v>8</v>
      </c>
    </row>
    <row r="5" customFormat="false" ht="15" hidden="false" customHeight="false" outlineLevel="0" collapsed="false">
      <c r="A5" s="4" t="s">
        <v>9</v>
      </c>
      <c r="B5" s="7" t="n">
        <v>1</v>
      </c>
      <c r="C5" s="4" t="s">
        <v>7</v>
      </c>
      <c r="D5" s="6" t="s">
        <v>10</v>
      </c>
    </row>
    <row r="6" customFormat="false" ht="15" hidden="false" customHeight="false" outlineLevel="0" collapsed="false">
      <c r="A6" s="4" t="s">
        <v>11</v>
      </c>
      <c r="B6" s="7" t="n">
        <v>8.2</v>
      </c>
      <c r="C6" s="4" t="s">
        <v>12</v>
      </c>
      <c r="D6" s="6" t="s">
        <v>13</v>
      </c>
    </row>
    <row r="7" customFormat="false" ht="15" hidden="false" customHeight="false" outlineLevel="0" collapsed="false">
      <c r="A7" s="4" t="s">
        <v>14</v>
      </c>
      <c r="B7" s="5" t="n">
        <v>0.5</v>
      </c>
      <c r="C7" s="4" t="s">
        <v>12</v>
      </c>
      <c r="D7" s="6" t="s">
        <v>15</v>
      </c>
    </row>
    <row r="8" customFormat="false" ht="15" hidden="false" customHeight="false" outlineLevel="0" collapsed="false">
      <c r="A8" s="4" t="s">
        <v>16</v>
      </c>
      <c r="B8" s="5" t="n">
        <v>14.2</v>
      </c>
      <c r="C8" s="4" t="s">
        <v>12</v>
      </c>
      <c r="D8" s="6" t="s">
        <v>17</v>
      </c>
    </row>
    <row r="9" customFormat="false" ht="15" hidden="false" customHeight="false" outlineLevel="0" collapsed="false">
      <c r="A9" s="4" t="s">
        <v>18</v>
      </c>
      <c r="B9" s="5" t="n">
        <v>0.6</v>
      </c>
      <c r="C9" s="4" t="s">
        <v>7</v>
      </c>
      <c r="D9" s="6" t="s">
        <v>19</v>
      </c>
    </row>
    <row r="10" customFormat="false" ht="15" hidden="false" customHeight="false" outlineLevel="0" collapsed="false">
      <c r="A10" s="4" t="s">
        <v>20</v>
      </c>
      <c r="B10" s="5" t="n">
        <v>2.9</v>
      </c>
      <c r="C10" s="4" t="s">
        <v>7</v>
      </c>
      <c r="D10" s="6" t="s">
        <v>21</v>
      </c>
    </row>
    <row r="11" customFormat="false" ht="15" hidden="false" customHeight="false" outlineLevel="0" collapsed="false">
      <c r="A11" s="4" t="s">
        <v>22</v>
      </c>
      <c r="B11" s="7" t="n">
        <v>0.9</v>
      </c>
      <c r="C11" s="4" t="s">
        <v>23</v>
      </c>
      <c r="D11" s="6" t="s">
        <v>24</v>
      </c>
    </row>
    <row r="12" customFormat="false" ht="15" hidden="false" customHeight="false" outlineLevel="0" collapsed="false">
      <c r="A12" s="4" t="s">
        <v>25</v>
      </c>
      <c r="B12" s="7" t="n">
        <v>8</v>
      </c>
      <c r="C12" s="4" t="s">
        <v>26</v>
      </c>
      <c r="D12" s="6" t="s">
        <v>27</v>
      </c>
    </row>
    <row r="13" customFormat="false" ht="15" hidden="false" customHeight="false" outlineLevel="0" collapsed="false">
      <c r="A13" s="4" t="s">
        <v>28</v>
      </c>
      <c r="B13" s="7" t="n">
        <v>11</v>
      </c>
      <c r="C13" s="4" t="s">
        <v>29</v>
      </c>
      <c r="D13" s="6" t="s">
        <v>30</v>
      </c>
    </row>
    <row r="14" customFormat="false" ht="15" hidden="false" customHeight="false" outlineLevel="0" collapsed="false">
      <c r="A14" s="4" t="s">
        <v>31</v>
      </c>
      <c r="B14" s="7" t="n">
        <v>4.95</v>
      </c>
      <c r="C14" s="4" t="s">
        <v>32</v>
      </c>
      <c r="D14" s="6" t="s">
        <v>33</v>
      </c>
    </row>
    <row r="15" customFormat="false" ht="15" hidden="false" customHeight="false" outlineLevel="0" collapsed="false">
      <c r="A15" s="4" t="s">
        <v>34</v>
      </c>
      <c r="B15" s="7" t="n">
        <v>16</v>
      </c>
      <c r="C15" s="4" t="s">
        <v>26</v>
      </c>
      <c r="D15" s="6" t="s">
        <v>35</v>
      </c>
    </row>
    <row r="16" customFormat="false" ht="15" hidden="false" customHeight="false" outlineLevel="0" collapsed="false">
      <c r="A16" s="4" t="s">
        <v>36</v>
      </c>
      <c r="B16" s="7" t="n">
        <v>80</v>
      </c>
      <c r="C16" s="4" t="s">
        <v>7</v>
      </c>
      <c r="D16" s="6" t="s">
        <v>37</v>
      </c>
    </row>
    <row r="17" customFormat="false" ht="15" hidden="false" customHeight="false" outlineLevel="0" collapsed="false">
      <c r="A17" s="4" t="s">
        <v>38</v>
      </c>
      <c r="B17" s="7" t="n">
        <v>25</v>
      </c>
      <c r="C17" s="4" t="s">
        <v>7</v>
      </c>
      <c r="D17" s="6" t="s">
        <v>37</v>
      </c>
    </row>
    <row r="18" customFormat="false" ht="15" hidden="false" customHeight="false" outlineLevel="0" collapsed="false">
      <c r="A18" s="4" t="s">
        <v>39</v>
      </c>
      <c r="B18" s="7" t="n">
        <v>25</v>
      </c>
      <c r="C18" s="4" t="s">
        <v>7</v>
      </c>
      <c r="D18" s="6" t="s">
        <v>40</v>
      </c>
    </row>
    <row r="19" customFormat="false" ht="15" hidden="false" customHeight="false" outlineLevel="0" collapsed="false">
      <c r="A19" s="4" t="s">
        <v>41</v>
      </c>
      <c r="B19" s="7" t="n">
        <v>5</v>
      </c>
      <c r="C19" s="4" t="s">
        <v>42</v>
      </c>
      <c r="D19" s="6" t="s">
        <v>43</v>
      </c>
    </row>
    <row r="20" customFormat="false" ht="15" hidden="false" customHeight="false" outlineLevel="0" collapsed="false">
      <c r="A20" s="4" t="s">
        <v>44</v>
      </c>
      <c r="B20" s="7" t="n">
        <v>6.2</v>
      </c>
      <c r="C20" s="4" t="s">
        <v>42</v>
      </c>
      <c r="D20" s="6" t="s">
        <v>45</v>
      </c>
    </row>
    <row r="21" customFormat="false" ht="15" hidden="false" customHeight="false" outlineLevel="0" collapsed="false">
      <c r="A21" s="4" t="s">
        <v>46</v>
      </c>
      <c r="B21" s="7" t="n">
        <v>9.5</v>
      </c>
      <c r="C21" s="4" t="s">
        <v>47</v>
      </c>
      <c r="D21" s="6" t="s">
        <v>48</v>
      </c>
    </row>
    <row r="22" customFormat="false" ht="15" hidden="false" customHeight="false" outlineLevel="0" collapsed="false">
      <c r="A22" s="4" t="s">
        <v>49</v>
      </c>
      <c r="B22" s="7" t="n">
        <v>0.9</v>
      </c>
      <c r="C22" s="4"/>
      <c r="D22" s="6" t="s">
        <v>50</v>
      </c>
    </row>
    <row r="23" customFormat="false" ht="15" hidden="false" customHeight="false" outlineLevel="0" collapsed="false">
      <c r="A23" s="4" t="s">
        <v>51</v>
      </c>
      <c r="B23" s="7" t="n">
        <v>14</v>
      </c>
      <c r="C23" s="4" t="s">
        <v>12</v>
      </c>
      <c r="D23" s="6" t="s">
        <v>52</v>
      </c>
    </row>
    <row r="24" customFormat="false" ht="15" hidden="false" customHeight="false" outlineLevel="0" collapsed="false">
      <c r="A24" s="4" t="s">
        <v>53</v>
      </c>
      <c r="B24" s="5" t="n">
        <v>250</v>
      </c>
      <c r="C24" s="4" t="s">
        <v>7</v>
      </c>
      <c r="D24" s="6" t="s">
        <v>54</v>
      </c>
    </row>
    <row r="25" customFormat="false" ht="15" hidden="false" customHeight="false" outlineLevel="0" collapsed="false">
      <c r="A25" s="4" t="s">
        <v>55</v>
      </c>
      <c r="B25" s="5" t="n">
        <v>18</v>
      </c>
      <c r="C25" s="4" t="s">
        <v>7</v>
      </c>
      <c r="D25" s="6" t="s">
        <v>56</v>
      </c>
    </row>
    <row r="26" customFormat="false" ht="15" hidden="false" customHeight="false" outlineLevel="0" collapsed="false">
      <c r="A26" s="4" t="s">
        <v>57</v>
      </c>
      <c r="B26" s="7" t="n">
        <v>6</v>
      </c>
      <c r="C26" s="4" t="s">
        <v>7</v>
      </c>
      <c r="D26" s="6" t="s">
        <v>58</v>
      </c>
    </row>
    <row r="27" customFormat="false" ht="15" hidden="false" customHeight="false" outlineLevel="0" collapsed="false">
      <c r="A27" s="4" t="s">
        <v>59</v>
      </c>
      <c r="B27" s="7" t="n">
        <v>3</v>
      </c>
      <c r="C27" s="4" t="s">
        <v>7</v>
      </c>
      <c r="D27" s="6" t="s">
        <v>60</v>
      </c>
    </row>
    <row r="28" customFormat="false" ht="15" hidden="false" customHeight="false" outlineLevel="0" collapsed="false">
      <c r="A28" s="4" t="s">
        <v>61</v>
      </c>
      <c r="B28" s="7" t="n">
        <v>4</v>
      </c>
      <c r="C28" s="4" t="s">
        <v>7</v>
      </c>
      <c r="D28" s="6" t="s">
        <v>60</v>
      </c>
    </row>
    <row r="29" customFormat="false" ht="15" hidden="false" customHeight="false" outlineLevel="0" collapsed="false">
      <c r="A29" s="4" t="s">
        <v>62</v>
      </c>
      <c r="B29" s="7" t="n">
        <v>28</v>
      </c>
      <c r="C29" s="4" t="s">
        <v>7</v>
      </c>
      <c r="D29" s="6" t="s">
        <v>63</v>
      </c>
    </row>
    <row r="30" customFormat="false" ht="15" hidden="false" customHeight="false" outlineLevel="0" collapsed="false">
      <c r="A30" s="4" t="s">
        <v>64</v>
      </c>
      <c r="B30" s="7" t="n">
        <v>14</v>
      </c>
      <c r="C30" s="4" t="s">
        <v>7</v>
      </c>
      <c r="D30" s="6" t="s">
        <v>65</v>
      </c>
    </row>
    <row r="31" customFormat="false" ht="15" hidden="false" customHeight="false" outlineLevel="0" collapsed="false">
      <c r="A31" s="4" t="s">
        <v>66</v>
      </c>
      <c r="B31" s="5" t="n">
        <v>36</v>
      </c>
      <c r="C31" s="4" t="s">
        <v>7</v>
      </c>
      <c r="D31" s="6" t="s">
        <v>67</v>
      </c>
    </row>
    <row r="32" customFormat="false" ht="15" hidden="false" customHeight="false" outlineLevel="0" collapsed="false">
      <c r="A32" s="4" t="s">
        <v>68</v>
      </c>
      <c r="B32" s="7" t="n">
        <v>2</v>
      </c>
      <c r="C32" s="4" t="s">
        <v>26</v>
      </c>
      <c r="D32" s="6" t="s">
        <v>60</v>
      </c>
    </row>
    <row r="33" customFormat="false" ht="15" hidden="false" customHeight="false" outlineLevel="0" collapsed="false">
      <c r="A33" s="4" t="s">
        <v>69</v>
      </c>
      <c r="B33" s="7" t="n">
        <v>210</v>
      </c>
      <c r="C33" s="4" t="s">
        <v>70</v>
      </c>
      <c r="D33" s="6" t="s">
        <v>71</v>
      </c>
    </row>
    <row r="34" customFormat="false" ht="15" hidden="false" customHeight="false" outlineLevel="0" collapsed="false">
      <c r="A34" s="4" t="s">
        <v>72</v>
      </c>
      <c r="B34" s="7" t="n">
        <v>0.3</v>
      </c>
      <c r="C34" s="4"/>
      <c r="D34" s="6" t="s">
        <v>71</v>
      </c>
    </row>
    <row r="35" customFormat="false" ht="15" hidden="false" customHeight="false" outlineLevel="0" collapsed="false">
      <c r="A35" s="4" t="s">
        <v>73</v>
      </c>
      <c r="B35" s="7" t="n">
        <v>1380</v>
      </c>
      <c r="C35" s="4" t="s">
        <v>74</v>
      </c>
      <c r="D35" s="6" t="s">
        <v>75</v>
      </c>
    </row>
    <row r="36" customFormat="false" ht="15" hidden="false" customHeight="false" outlineLevel="0" collapsed="false">
      <c r="A36" s="4" t="s">
        <v>76</v>
      </c>
      <c r="B36" s="7" t="n">
        <v>740</v>
      </c>
      <c r="C36" s="4" t="s">
        <v>74</v>
      </c>
      <c r="D36" s="6" t="s">
        <v>77</v>
      </c>
    </row>
    <row r="37" customFormat="false" ht="15" hidden="false" customHeight="false" outlineLevel="0" collapsed="false">
      <c r="A37" s="4" t="s">
        <v>78</v>
      </c>
      <c r="B37" s="7" t="n">
        <v>1.79</v>
      </c>
      <c r="C37" s="4"/>
      <c r="D37" s="6" t="s">
        <v>79</v>
      </c>
    </row>
    <row r="38" customFormat="false" ht="15" hidden="false" customHeight="false" outlineLevel="0" collapsed="false">
      <c r="A38" s="4" t="s">
        <v>80</v>
      </c>
      <c r="B38" s="7" t="n">
        <v>23.5</v>
      </c>
      <c r="C38" s="4" t="s">
        <v>7</v>
      </c>
      <c r="D38" s="6" t="s">
        <v>81</v>
      </c>
    </row>
    <row r="39" customFormat="false" ht="15" hidden="false" customHeight="false" outlineLevel="0" collapsed="false">
      <c r="A39" s="4" t="s">
        <v>82</v>
      </c>
      <c r="B39" s="7" t="n">
        <v>11.75</v>
      </c>
      <c r="C39" s="4" t="s">
        <v>7</v>
      </c>
      <c r="D39" s="6" t="s">
        <v>83</v>
      </c>
    </row>
    <row r="40" customFormat="false" ht="15" hidden="false" customHeight="false" outlineLevel="0" collapsed="false">
      <c r="A40" s="4" t="s">
        <v>84</v>
      </c>
      <c r="B40" s="7" t="n">
        <v>14</v>
      </c>
      <c r="C40" s="4" t="s">
        <v>7</v>
      </c>
      <c r="D40" s="6" t="s">
        <v>85</v>
      </c>
    </row>
    <row r="41" customFormat="false" ht="15" hidden="false" customHeight="false" outlineLevel="0" collapsed="false">
      <c r="A41" s="4" t="s">
        <v>86</v>
      </c>
      <c r="B41" s="7" t="n">
        <v>14</v>
      </c>
      <c r="C41" s="4" t="s">
        <v>7</v>
      </c>
      <c r="D41" s="6" t="s">
        <v>81</v>
      </c>
    </row>
    <row r="42" customFormat="false" ht="15" hidden="false" customHeight="false" outlineLevel="0" collapsed="false">
      <c r="A42" s="4" t="s">
        <v>87</v>
      </c>
      <c r="B42" s="7" t="n">
        <v>12.5</v>
      </c>
      <c r="C42" s="4" t="s">
        <v>7</v>
      </c>
      <c r="D42" s="6" t="s">
        <v>88</v>
      </c>
    </row>
    <row r="43" customFormat="false" ht="15" hidden="false" customHeight="false" outlineLevel="0" collapsed="false">
      <c r="A43" s="4" t="s">
        <v>89</v>
      </c>
      <c r="B43" s="7" t="n">
        <v>18</v>
      </c>
      <c r="C43" s="4" t="s">
        <v>7</v>
      </c>
      <c r="D43" s="6" t="s">
        <v>81</v>
      </c>
    </row>
    <row r="44" customFormat="false" ht="15" hidden="false" customHeight="false" outlineLevel="0" collapsed="false">
      <c r="A44" s="4" t="s">
        <v>90</v>
      </c>
      <c r="B44" s="7" t="n">
        <v>5</v>
      </c>
      <c r="C44" s="4" t="s">
        <v>7</v>
      </c>
      <c r="D44" s="6" t="s">
        <v>91</v>
      </c>
    </row>
    <row r="45" customFormat="false" ht="15" hidden="false" customHeight="false" outlineLevel="0" collapsed="false">
      <c r="A45" s="4" t="s">
        <v>92</v>
      </c>
      <c r="B45" s="7" t="n">
        <v>0.3</v>
      </c>
      <c r="C45" s="4" t="s">
        <v>7</v>
      </c>
      <c r="D45" s="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3" customFormat="false" ht="15" hidden="false" customHeight="false" outlineLevel="0" collapsed="false">
      <c r="A3" s="3" t="s">
        <v>96</v>
      </c>
      <c r="B3" s="3" t="s">
        <v>3</v>
      </c>
      <c r="C3" s="3" t="s">
        <v>4</v>
      </c>
      <c r="D3" s="3" t="s">
        <v>97</v>
      </c>
    </row>
    <row r="4" customFormat="false" ht="15" hidden="false" customHeight="false" outlineLevel="0" collapsed="false">
      <c r="A4" s="4" t="s">
        <v>98</v>
      </c>
      <c r="B4" s="8" t="n">
        <f aca="false">1/TAN(RADIANS(Inputs!$B$21))</f>
        <v>5.97576436443307</v>
      </c>
      <c r="C4" s="4"/>
      <c r="D4" s="9"/>
    </row>
    <row r="5" customFormat="false" ht="15" hidden="false" customHeight="false" outlineLevel="0" collapsed="false">
      <c r="A5" s="4" t="s">
        <v>99</v>
      </c>
      <c r="B5" s="10" t="n">
        <f aca="false">Inputs!$B$8/Inputs!$B$9</f>
        <v>23.6666666666667</v>
      </c>
      <c r="C5" s="4" t="s">
        <v>100</v>
      </c>
      <c r="D5" s="9"/>
    </row>
    <row r="6" customFormat="false" ht="15" hidden="false" customHeight="false" outlineLevel="0" collapsed="false">
      <c r="A6" s="4" t="s">
        <v>101</v>
      </c>
      <c r="B6" s="11" t="n">
        <f aca="false">Inputs!$B$6/$B$5</f>
        <v>0.346478873239437</v>
      </c>
      <c r="C6" s="4" t="s">
        <v>7</v>
      </c>
      <c r="D6" s="9"/>
    </row>
    <row r="7" customFormat="false" ht="15" hidden="false" customHeight="false" outlineLevel="0" collapsed="false">
      <c r="A7" s="4" t="s">
        <v>102</v>
      </c>
      <c r="B7" s="8" t="n">
        <f aca="false">$B$6/Inputs!$B$9</f>
        <v>0.577464788732394</v>
      </c>
      <c r="C7" s="4" t="s">
        <v>23</v>
      </c>
      <c r="D7" s="9"/>
    </row>
    <row r="8" customFormat="false" ht="15" hidden="false" customHeight="false" outlineLevel="0" collapsed="false">
      <c r="A8" s="4" t="s">
        <v>103</v>
      </c>
      <c r="B8" s="12" t="n">
        <f aca="false">ROUNDUP(Inputs!$B$4/((Inputs!$B$11-$B$7)*Inputs!$B$9),0)</f>
        <v>7</v>
      </c>
      <c r="C8" s="4" t="s">
        <v>26</v>
      </c>
      <c r="D8" s="9"/>
    </row>
    <row r="9" customFormat="false" ht="15" hidden="false" customHeight="false" outlineLevel="0" collapsed="false">
      <c r="A9" s="4" t="s">
        <v>104</v>
      </c>
      <c r="B9" s="11" t="n">
        <f aca="false">$B$6+Inputs!$B$4/Inputs!$B$12</f>
        <v>0.496478873239437</v>
      </c>
      <c r="C9" s="4" t="s">
        <v>7</v>
      </c>
      <c r="D9" s="9"/>
    </row>
    <row r="10" customFormat="false" ht="15" hidden="false" customHeight="false" outlineLevel="0" collapsed="false">
      <c r="A10" s="4" t="s">
        <v>105</v>
      </c>
      <c r="B10" s="8" t="n">
        <f aca="false">$B$9/Inputs!$B$9</f>
        <v>0.827464788732394</v>
      </c>
      <c r="C10" s="4" t="s">
        <v>23</v>
      </c>
      <c r="D10" s="13" t="str">
        <f aca="false">IF($B$10&lt;=Inputs!$B$11,"OK","Add washers")</f>
        <v>OK</v>
      </c>
    </row>
    <row r="11" customFormat="false" ht="15" hidden="false" customHeight="false" outlineLevel="0" collapsed="false">
      <c r="A11" s="4" t="s">
        <v>106</v>
      </c>
      <c r="B11" s="10" t="n">
        <f aca="false">MIN($B$5*$B$9,Inputs!$B$8)</f>
        <v>11.75</v>
      </c>
      <c r="C11" s="4" t="s">
        <v>12</v>
      </c>
      <c r="D11" s="9"/>
    </row>
    <row r="12" customFormat="false" ht="15" hidden="false" customHeight="false" outlineLevel="0" collapsed="false">
      <c r="A12" s="4" t="s">
        <v>107</v>
      </c>
      <c r="B12" s="10" t="n">
        <f aca="false">$B$11+Inputs!$B$7</f>
        <v>12.25</v>
      </c>
      <c r="C12" s="4" t="s">
        <v>12</v>
      </c>
      <c r="D12" s="9"/>
    </row>
    <row r="13" customFormat="false" ht="15" hidden="false" customHeight="false" outlineLevel="0" collapsed="false">
      <c r="A13" s="4" t="s">
        <v>108</v>
      </c>
      <c r="B13" s="12" t="n">
        <f aca="false">PI()*Inputs!$B$16^2/4</f>
        <v>5026.54824574367</v>
      </c>
      <c r="C13" s="4" t="s">
        <v>109</v>
      </c>
      <c r="D13" s="9"/>
    </row>
    <row r="14" customFormat="false" ht="15" hidden="false" customHeight="false" outlineLevel="0" collapsed="false">
      <c r="A14" s="4" t="s">
        <v>110</v>
      </c>
      <c r="B14" s="8" t="n">
        <f aca="false">$B$13*Inputs!$B$19/10/1000</f>
        <v>2.51327412287183</v>
      </c>
      <c r="C14" s="4" t="s">
        <v>12</v>
      </c>
      <c r="D14" s="9"/>
    </row>
    <row r="15" customFormat="false" ht="15" hidden="false" customHeight="false" outlineLevel="0" collapsed="false">
      <c r="A15" s="4" t="s">
        <v>111</v>
      </c>
      <c r="B15" s="10" t="n">
        <f aca="false">$B$14*$B$4*Inputs!$B$22</f>
        <v>13.5168605473584</v>
      </c>
      <c r="C15" s="4" t="s">
        <v>12</v>
      </c>
      <c r="D15" s="9"/>
    </row>
    <row r="16" customFormat="false" ht="15" hidden="false" customHeight="false" outlineLevel="0" collapsed="false">
      <c r="A16" s="4" t="s">
        <v>112</v>
      </c>
      <c r="B16" s="14" t="n">
        <f aca="false">$B$15/$B$12-1</f>
        <v>0.103417187539457</v>
      </c>
      <c r="C16" s="4"/>
      <c r="D16" s="13" t="str">
        <f aca="false">IF($B$16&gt;=0.1,"OK",IF($B$16&gt;=0,"Thin","Will not release"))</f>
        <v>OK</v>
      </c>
    </row>
    <row r="17" customFormat="false" ht="15" hidden="false" customHeight="false" outlineLevel="0" collapsed="false">
      <c r="A17" s="4" t="s">
        <v>113</v>
      </c>
      <c r="B17" s="10" t="n">
        <f aca="false">$B$12*1000/($B$13*$B$4*Inputs!$B$22)*10</f>
        <v>4.5313776660935</v>
      </c>
      <c r="C17" s="4" t="s">
        <v>42</v>
      </c>
      <c r="D17" s="13" t="str">
        <f aca="false">IF($B$17&lt;=Inputs!$B$19-0.5,"OK","Thin: under 0.5 bar headroom")</f>
        <v>Thin: under 0.5 bar headroom</v>
      </c>
    </row>
    <row r="18" customFormat="false" ht="15" hidden="false" customHeight="false" outlineLevel="0" collapsed="false">
      <c r="A18" s="4" t="s">
        <v>114</v>
      </c>
      <c r="B18" s="10" t="n">
        <f aca="false">$B$4*(Inputs!$B$4+Inputs!$B$5)</f>
        <v>13.1466816017527</v>
      </c>
      <c r="C18" s="4" t="s">
        <v>7</v>
      </c>
      <c r="D18" s="13" t="str">
        <f aca="false">IF($B$18&lt;=Inputs!$B$17-3,"OK","Short of stroke")</f>
        <v>OK</v>
      </c>
    </row>
    <row r="19" customFormat="false" ht="15" hidden="false" customHeight="false" outlineLevel="0" collapsed="false">
      <c r="A19" s="4" t="s">
        <v>115</v>
      </c>
      <c r="B19" s="10" t="n">
        <f aca="false">(Inputs!$B$17-3)/$B$4-Inputs!$B$5</f>
        <v>2.68153739979123</v>
      </c>
      <c r="C19" s="4" t="s">
        <v>7</v>
      </c>
      <c r="D19" s="9"/>
    </row>
    <row r="20" customFormat="false" ht="15" hidden="false" customHeight="false" outlineLevel="0" collapsed="false">
      <c r="A20" s="4" t="s">
        <v>116</v>
      </c>
      <c r="B20" s="10" t="n">
        <f aca="false">Inputs!$B$12*Inputs!$B$10</f>
        <v>23.2</v>
      </c>
      <c r="C20" s="4" t="s">
        <v>7</v>
      </c>
      <c r="D20" s="9"/>
    </row>
    <row r="21" customFormat="false" ht="15" hidden="false" customHeight="false" outlineLevel="0" collapsed="false">
      <c r="A21" s="4" t="s">
        <v>117</v>
      </c>
      <c r="B21" s="10" t="n">
        <f aca="false">Inputs!$B$12*(Inputs!$B$10-$B$6)</f>
        <v>20.4281690140845</v>
      </c>
      <c r="C21" s="4" t="s">
        <v>7</v>
      </c>
      <c r="D21" s="9"/>
    </row>
    <row r="22" customFormat="false" ht="15" hidden="false" customHeight="false" outlineLevel="0" collapsed="false">
      <c r="A22" s="4" t="s">
        <v>118</v>
      </c>
      <c r="B22" s="10" t="n">
        <f aca="false">Inputs!$B$26+Inputs!$B$27+$B$21+Inputs!$B$28</f>
        <v>33.4281690140845</v>
      </c>
      <c r="C22" s="4" t="s">
        <v>7</v>
      </c>
      <c r="D22" s="9"/>
    </row>
    <row r="23" customFormat="false" ht="15" hidden="false" customHeight="false" outlineLevel="0" collapsed="false">
      <c r="A23" s="4" t="s">
        <v>119</v>
      </c>
      <c r="B23" s="12" t="n">
        <f aca="false">Inputs!$B$24+$B$22+Inputs!$B$29</f>
        <v>311.428169014085</v>
      </c>
      <c r="C23" s="4" t="s">
        <v>7</v>
      </c>
      <c r="D23" s="9"/>
    </row>
    <row r="24" customFormat="false" ht="15" hidden="false" customHeight="false" outlineLevel="0" collapsed="false">
      <c r="A24" s="4" t="s">
        <v>120</v>
      </c>
      <c r="B24" s="10" t="n">
        <f aca="false">3+$B$22</f>
        <v>36.4281690140845</v>
      </c>
      <c r="C24" s="4" t="s">
        <v>7</v>
      </c>
      <c r="D24" s="9"/>
    </row>
    <row r="25" customFormat="false" ht="15" hidden="false" customHeight="false" outlineLevel="0" collapsed="false">
      <c r="A25" s="4" t="s">
        <v>121</v>
      </c>
      <c r="B25" s="12" t="n">
        <f aca="false">Inputs!$B$24-Inputs!$B$25-3</f>
        <v>229</v>
      </c>
      <c r="C25" s="4" t="s">
        <v>7</v>
      </c>
      <c r="D25" s="9"/>
    </row>
    <row r="26" customFormat="false" ht="15" hidden="false" customHeight="false" outlineLevel="0" collapsed="false">
      <c r="A26" s="4" t="s">
        <v>122</v>
      </c>
      <c r="B26" s="8" t="n">
        <f aca="false">$B$13*Inputs!$B$20/10/1000</f>
        <v>3.11645991236108</v>
      </c>
      <c r="C26" s="4" t="s">
        <v>12</v>
      </c>
      <c r="D26" s="9"/>
    </row>
    <row r="27" customFormat="false" ht="15" hidden="false" customHeight="false" outlineLevel="0" collapsed="false">
      <c r="A27" s="4" t="s">
        <v>123</v>
      </c>
      <c r="B27" s="10" t="n">
        <f aca="false">$B$15-Inputs!$B$6</f>
        <v>5.31686054735835</v>
      </c>
      <c r="C27" s="4" t="s">
        <v>12</v>
      </c>
      <c r="D27" s="9"/>
    </row>
    <row r="28" customFormat="false" ht="15" hidden="false" customHeight="false" outlineLevel="0" collapsed="false">
      <c r="A28" s="4" t="s">
        <v>124</v>
      </c>
      <c r="B28" s="10" t="n">
        <f aca="false">Inputs!$B$23/$B$27</f>
        <v>2.63313281875633</v>
      </c>
      <c r="C28" s="4" t="s">
        <v>125</v>
      </c>
      <c r="D28" s="13" t="str">
        <f aca="false">IF($B$28&gt;=2,"OK",IF($B$28&gt;=1.5,"Thin","Low"))</f>
        <v>OK</v>
      </c>
    </row>
    <row r="29" customFormat="false" ht="15" hidden="false" customHeight="false" outlineLevel="0" collapsed="false">
      <c r="A29" s="4" t="s">
        <v>126</v>
      </c>
      <c r="B29" s="10" t="n">
        <f aca="false">$B$26*$B$4*Inputs!$B$22-Inputs!$B$6</f>
        <v>8.56090707872436</v>
      </c>
      <c r="C29" s="4" t="s">
        <v>12</v>
      </c>
      <c r="D29" s="9"/>
    </row>
    <row r="30" customFormat="false" ht="15" hidden="false" customHeight="false" outlineLevel="0" collapsed="false">
      <c r="A30" s="4" t="s">
        <v>127</v>
      </c>
      <c r="B30" s="10" t="n">
        <f aca="false">Inputs!$B$23/$B$29</f>
        <v>1.63534072631076</v>
      </c>
      <c r="C30" s="4" t="s">
        <v>125</v>
      </c>
      <c r="D30" s="9"/>
    </row>
    <row r="31" customFormat="false" ht="15" hidden="false" customHeight="false" outlineLevel="0" collapsed="false">
      <c r="A31" s="4" t="s">
        <v>128</v>
      </c>
      <c r="B31" s="10" t="n">
        <f aca="false">$B$4*(Inputs!$B$4+Inputs!$B$45+Inputs!$B$5)</f>
        <v>14.9394109110827</v>
      </c>
      <c r="C31" s="4" t="s">
        <v>7</v>
      </c>
      <c r="D31" s="13" t="str">
        <f aca="false">IF($B$31&lt;=Inputs!$B$17-3,"OK","Short of stroke")</f>
        <v>OK</v>
      </c>
    </row>
    <row r="32" customFormat="false" ht="15" hidden="false" customHeight="false" outlineLevel="0" collapsed="false">
      <c r="A32" s="4" t="s">
        <v>129</v>
      </c>
      <c r="B32" s="10" t="n">
        <f aca="false">$B$31/2</f>
        <v>7.46970545554133</v>
      </c>
      <c r="C32" s="4" t="s">
        <v>7</v>
      </c>
      <c r="D32" s="9"/>
    </row>
    <row r="33" customFormat="false" ht="15" hidden="false" customHeight="false" outlineLevel="0" collapsed="false">
      <c r="A33" s="4" t="s">
        <v>130</v>
      </c>
      <c r="B33" s="10" t="n">
        <f aca="false">$B$26*$B$4*Inputs!$B$22</f>
        <v>16.7609070787244</v>
      </c>
      <c r="C33" s="4" t="s">
        <v>12</v>
      </c>
      <c r="D33" s="9"/>
    </row>
    <row r="34" customFormat="false" ht="15" hidden="false" customHeight="false" outlineLevel="0" collapsed="false">
      <c r="A34" s="4" t="s">
        <v>131</v>
      </c>
      <c r="B34" s="10" t="n">
        <f aca="false">$B$33/COS(RADIANS(Inputs!$B$21))</f>
        <v>16.9939691430157</v>
      </c>
      <c r="C34" s="4" t="s">
        <v>12</v>
      </c>
      <c r="D34" s="9"/>
    </row>
    <row r="35" customFormat="false" ht="15" hidden="false" customHeight="false" outlineLevel="0" collapsed="false">
      <c r="A35" s="4" t="s">
        <v>132</v>
      </c>
      <c r="B35" s="12" t="n">
        <f aca="false">Inputs!$B$33*1000/(2*(1-Inputs!$B$34^2))</f>
        <v>115384.615384615</v>
      </c>
      <c r="C35" s="4" t="s">
        <v>74</v>
      </c>
      <c r="D35" s="9"/>
    </row>
    <row r="36" customFormat="false" ht="15" hidden="false" customHeight="false" outlineLevel="0" collapsed="false">
      <c r="A36" s="4" t="s">
        <v>133</v>
      </c>
      <c r="B36" s="12" t="n">
        <f aca="false">SQRT($B$15/COS(RADIANS(Inputs!$B$21))*1000/Inputs!$B$32*$B$35/(PI()*Inputs!$B$31*Inputs!$B$30/2))</f>
        <v>999.356217773345</v>
      </c>
      <c r="C36" s="4" t="s">
        <v>74</v>
      </c>
      <c r="D36" s="9"/>
    </row>
    <row r="37" customFormat="false" ht="15" hidden="false" customHeight="false" outlineLevel="0" collapsed="false">
      <c r="A37" s="4" t="s">
        <v>134</v>
      </c>
      <c r="B37" s="12" t="n">
        <f aca="false">SQRT($B$34*1000/Inputs!$B$32*$B$35/(PI()*Inputs!$B$31*Inputs!$B$30/2))</f>
        <v>1112.83598701821</v>
      </c>
      <c r="C37" s="4" t="s">
        <v>74</v>
      </c>
      <c r="D37" s="13" t="str">
        <f aca="false">IF($B$37&lt;=Inputs!$B$37*Inputs!$B$36,"OK even unhardened",IF($B$37&lt;=Inputs!$B$37*Inputs!$B$35,"OK hardened","Yields"))</f>
        <v>OK even unhardened</v>
      </c>
    </row>
    <row r="38" customFormat="false" ht="15" hidden="false" customHeight="false" outlineLevel="0" collapsed="false">
      <c r="A38" s="4" t="s">
        <v>135</v>
      </c>
      <c r="B38" s="12" t="n">
        <f aca="false">SQRT($B$34*1000*$B$35/(PI()*Inputs!$B$31*Inputs!$B$30/2))</f>
        <v>1573.787745538</v>
      </c>
      <c r="C38" s="4" t="s">
        <v>74</v>
      </c>
      <c r="D38" s="13" t="str">
        <f aca="false">IF($B$38&lt;=Inputs!$B$37*Inputs!$B$36,"OK even unhardened",IF($B$38&lt;=Inputs!$B$37*Inputs!$B$35,"OK hardened only","Yields: grind faces parallel"))</f>
        <v>OK hardened only</v>
      </c>
    </row>
    <row r="39" customFormat="false" ht="15" hidden="false" customHeight="false" outlineLevel="0" collapsed="false">
      <c r="A39" s="4" t="s">
        <v>136</v>
      </c>
      <c r="B39" s="12" t="n">
        <f aca="false">Inputs!$B$37*Inputs!$B$35</f>
        <v>2470.2</v>
      </c>
      <c r="C39" s="4" t="s">
        <v>74</v>
      </c>
      <c r="D39" s="9"/>
    </row>
    <row r="40" customFormat="false" ht="15" hidden="false" customHeight="false" outlineLevel="0" collapsed="false">
      <c r="A40" s="4" t="s">
        <v>137</v>
      </c>
      <c r="B40" s="8" t="n">
        <f aca="false">$B$39/$B$38</f>
        <v>1.56958904210781</v>
      </c>
      <c r="C40" s="4" t="s">
        <v>125</v>
      </c>
      <c r="D40" s="13" t="str">
        <f aca="false">IF($B$40&gt;=1.3,"OK","Thin")</f>
        <v>OK</v>
      </c>
    </row>
    <row r="41" customFormat="false" ht="15" hidden="false" customHeight="false" outlineLevel="0" collapsed="false">
      <c r="A41" s="4" t="s">
        <v>138</v>
      </c>
      <c r="B41" s="12" t="n">
        <f aca="false">Inputs!$B$37*Inputs!$B$36</f>
        <v>1324.6</v>
      </c>
      <c r="C41" s="4" t="s">
        <v>74</v>
      </c>
      <c r="D41" s="9"/>
    </row>
    <row r="42" customFormat="false" ht="15" hidden="false" customHeight="false" outlineLevel="0" collapsed="false">
      <c r="A42" s="4" t="s">
        <v>139</v>
      </c>
      <c r="B42" s="8" t="n">
        <f aca="false">$B$41/$B$37</f>
        <v>1.19029220428898</v>
      </c>
      <c r="C42" s="4" t="s">
        <v>125</v>
      </c>
      <c r="D42" s="9"/>
    </row>
    <row r="43" customFormat="false" ht="15" hidden="false" customHeight="false" outlineLevel="0" collapsed="false">
      <c r="A43" s="4" t="s">
        <v>140</v>
      </c>
      <c r="B43" s="8" t="n">
        <f aca="false">(Inputs!$B$38-Inputs!$B$41*TAN(RADIANS(Inputs!$B$21)))-(Inputs!$B$39+Inputs!$B$40/2)</f>
        <v>2.40720347286013</v>
      </c>
      <c r="C43" s="4" t="s">
        <v>7</v>
      </c>
      <c r="D43" s="13" t="str">
        <f aca="false">IF($B$43&gt;=2,"OK","Thin")</f>
        <v>OK</v>
      </c>
    </row>
    <row r="44" customFormat="false" ht="15" hidden="false" customHeight="false" outlineLevel="0" collapsed="false">
      <c r="A44" s="4" t="s">
        <v>141</v>
      </c>
      <c r="B44" s="8" t="n">
        <f aca="false">(Inputs!$B$38-Inputs!$B$43*TAN(RADIANS(Inputs!$B$21)))-(Inputs!$B$39+Inputs!$B$42/2)</f>
        <v>2.48783303653445</v>
      </c>
      <c r="C44" s="4" t="s">
        <v>7</v>
      </c>
      <c r="D44" s="13" t="str">
        <f aca="false">IF($B$44&gt;=2,"OK","Thin")</f>
        <v>OK</v>
      </c>
    </row>
    <row r="45" customFormat="false" ht="15" hidden="false" customHeight="false" outlineLevel="0" collapsed="false">
      <c r="A45" s="4" t="s">
        <v>142</v>
      </c>
      <c r="B45" s="8" t="n">
        <f aca="false">Inputs!$B$39-Inputs!$B$40/2</f>
        <v>4.75</v>
      </c>
      <c r="C45" s="4" t="s">
        <v>7</v>
      </c>
      <c r="D45" s="9"/>
    </row>
    <row r="46" customFormat="false" ht="15" hidden="false" customHeight="false" outlineLevel="0" collapsed="false">
      <c r="A46" s="4" t="s">
        <v>143</v>
      </c>
      <c r="B46" s="12" t="n">
        <f aca="false">24-Inputs!$B$44</f>
        <v>19</v>
      </c>
      <c r="C46" s="4" t="s">
        <v>7</v>
      </c>
      <c r="D46" s="9"/>
    </row>
    <row r="47" customFormat="false" ht="15" hidden="false" customHeight="false" outlineLevel="0" collapsed="false">
      <c r="A47" s="4" t="s">
        <v>144</v>
      </c>
      <c r="B47" s="8" t="n">
        <f aca="false">$B$33*TAN(RADIANS(Inputs!$B$21))</f>
        <v>2.80481392112497</v>
      </c>
      <c r="C47" s="4" t="s">
        <v>12</v>
      </c>
      <c r="D47" s="9"/>
    </row>
    <row r="48" customFormat="false" ht="15" hidden="false" customHeight="false" outlineLevel="0" collapsed="false">
      <c r="A48" s="4" t="s">
        <v>145</v>
      </c>
      <c r="B48" s="8" t="n">
        <f aca="false">($B$13+($B$13-PI()*Inputs!$B$18^2/4))*$B$18*(Inputs!$B$19+1.013)/1.013/1000000</f>
        <v>0.746202594395379</v>
      </c>
      <c r="C48" s="4" t="s">
        <v>146</v>
      </c>
      <c r="D48" s="9"/>
    </row>
    <row r="49" customFormat="false" ht="15" hidden="false" customHeight="false" outlineLevel="0" collapsed="false">
      <c r="A49" s="4" t="s">
        <v>147</v>
      </c>
      <c r="B49" s="12" t="n">
        <f aca="false">Inputs!$B$12*Inputs!$B$13</f>
        <v>88</v>
      </c>
      <c r="C49" s="4" t="s">
        <v>29</v>
      </c>
      <c r="D49" s="9"/>
    </row>
    <row r="50" customFormat="false" ht="15" hidden="false" customHeight="false" outlineLevel="0" collapsed="false">
      <c r="A50" s="4" t="s">
        <v>148</v>
      </c>
      <c r="B50" s="15" t="n">
        <f aca="false">Inputs!$B$15*Inputs!$B$14</f>
        <v>79.2</v>
      </c>
      <c r="C50" s="4" t="s">
        <v>32</v>
      </c>
      <c r="D5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16.1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45" hidden="false" customHeight="true" outlineLevel="0" collapsed="false">
      <c r="A4" s="16" t="s">
        <v>151</v>
      </c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</row>
    <row r="5" customFormat="false" ht="15" hidden="false" customHeight="false" outlineLevel="0" collapsed="false">
      <c r="A5" s="17" t="n">
        <v>0.6</v>
      </c>
      <c r="B5" s="12" t="n">
        <f aca="false">Inputs!$B$12</f>
        <v>8</v>
      </c>
      <c r="C5" s="8" t="n">
        <f aca="false">(Design!$B$6+A5/B5)/Inputs!$B$9</f>
        <v>0.702464788732394</v>
      </c>
      <c r="D5" s="10" t="n">
        <f aca="false">MIN(Design!$B$5*(Design!$B$6+A5/B5),Inputs!$B$8)</f>
        <v>9.975</v>
      </c>
      <c r="E5" s="10" t="n">
        <f aca="false">D5+Inputs!$B$7</f>
        <v>10.475</v>
      </c>
      <c r="F5" s="14" t="n">
        <f aca="false">Design!$B$15/E5-1</f>
        <v>0.290392415022277</v>
      </c>
      <c r="G5" s="10" t="n">
        <f aca="false">E5*1000/(Design!$B$13*Design!$B$4*Inputs!$B$22)*10</f>
        <v>3.87479028998608</v>
      </c>
      <c r="H5" s="10" t="n">
        <f aca="false">B5*(Inputs!$B$10-Design!$B$6)</f>
        <v>20.4281690140845</v>
      </c>
      <c r="I5" s="12" t="n">
        <f aca="false">Inputs!$B$24+Inputs!$B$26+Inputs!$B$27+H5+Inputs!$B$28+Inputs!$B$29</f>
        <v>311.428169014085</v>
      </c>
      <c r="J5" s="10" t="n">
        <f aca="false">Design!$B$4*(A5+Inputs!$B$5)</f>
        <v>9.5612229830929</v>
      </c>
      <c r="K5" s="18" t="str">
        <f aca="false">IF(C5&lt;=Inputs!$B$11,"Yes","No")</f>
        <v>Yes</v>
      </c>
      <c r="L5" s="14" t="n">
        <f aca="false">Design!$B$13*5.5/10/1000*Design!$B$4*Inputs!$B$22/E5-1</f>
        <v>0.419431656524505</v>
      </c>
    </row>
    <row r="6" customFormat="false" ht="15" hidden="false" customHeight="false" outlineLevel="0" collapsed="false">
      <c r="A6" s="17" t="n">
        <v>0.8</v>
      </c>
      <c r="B6" s="12" t="n">
        <f aca="false">Inputs!$B$12</f>
        <v>8</v>
      </c>
      <c r="C6" s="8" t="n">
        <f aca="false">(Design!$B$6+A6/B6)/Inputs!$B$9</f>
        <v>0.744131455399061</v>
      </c>
      <c r="D6" s="10" t="n">
        <f aca="false">MIN(Design!$B$5*(Design!$B$6+A6/B6),Inputs!$B$8)</f>
        <v>10.5666666666667</v>
      </c>
      <c r="E6" s="10" t="n">
        <f aca="false">D6+Inputs!$B$7</f>
        <v>11.0666666666667</v>
      </c>
      <c r="F6" s="14" t="n">
        <f aca="false">Design!$B$15/E6-1</f>
        <v>0.221403061508285</v>
      </c>
      <c r="G6" s="10" t="n">
        <f aca="false">E6*1000/(Design!$B$13*Design!$B$4*Inputs!$B$22)*10</f>
        <v>4.09365274868855</v>
      </c>
      <c r="H6" s="10" t="n">
        <f aca="false">B6*(Inputs!$B$10-Design!$B$6)</f>
        <v>20.4281690140845</v>
      </c>
      <c r="I6" s="12" t="n">
        <f aca="false">Inputs!$B$24+Inputs!$B$26+Inputs!$B$27+H6+Inputs!$B$28+Inputs!$B$29</f>
        <v>311.428169014085</v>
      </c>
      <c r="J6" s="10" t="n">
        <f aca="false">Design!$B$4*(A6+Inputs!$B$5)</f>
        <v>10.7563758559795</v>
      </c>
      <c r="K6" s="18" t="str">
        <f aca="false">IF(C6&lt;=Inputs!$B$11,"Yes","No")</f>
        <v>Yes</v>
      </c>
      <c r="L6" s="14" t="n">
        <f aca="false">Design!$B$13*5.5/10/1000*Design!$B$4*Inputs!$B$22/E6-1</f>
        <v>0.343543367659113</v>
      </c>
    </row>
    <row r="7" customFormat="false" ht="15" hidden="false" customHeight="false" outlineLevel="0" collapsed="false">
      <c r="A7" s="17" t="n">
        <v>1</v>
      </c>
      <c r="B7" s="12" t="n">
        <f aca="false">Inputs!$B$12</f>
        <v>8</v>
      </c>
      <c r="C7" s="8" t="n">
        <f aca="false">(Design!$B$6+A7/B7)/Inputs!$B$9</f>
        <v>0.785798122065728</v>
      </c>
      <c r="D7" s="10" t="n">
        <f aca="false">MIN(Design!$B$5*(Design!$B$6+A7/B7),Inputs!$B$8)</f>
        <v>11.1583333333333</v>
      </c>
      <c r="E7" s="10" t="n">
        <f aca="false">D7+Inputs!$B$7</f>
        <v>11.6583333333333</v>
      </c>
      <c r="F7" s="14" t="n">
        <f aca="false">Design!$B$15/E7-1</f>
        <v>0.159416201345963</v>
      </c>
      <c r="G7" s="10" t="n">
        <f aca="false">E7*1000/(Design!$B$13*Design!$B$4*Inputs!$B$22)*10</f>
        <v>4.31251520739103</v>
      </c>
      <c r="H7" s="10" t="n">
        <f aca="false">B7*(Inputs!$B$10-Design!$B$6)</f>
        <v>20.4281690140845</v>
      </c>
      <c r="I7" s="12" t="n">
        <f aca="false">Inputs!$B$24+Inputs!$B$26+Inputs!$B$27+H7+Inputs!$B$28+Inputs!$B$29</f>
        <v>311.428169014085</v>
      </c>
      <c r="J7" s="10" t="n">
        <f aca="false">Design!$B$4*(A7+Inputs!$B$5)</f>
        <v>11.9515287288661</v>
      </c>
      <c r="K7" s="18" t="str">
        <f aca="false">IF(C7&lt;=Inputs!$B$11,"Yes","No")</f>
        <v>Yes</v>
      </c>
      <c r="L7" s="14" t="n">
        <f aca="false">Design!$B$13*5.5/10/1000*Design!$B$4*Inputs!$B$22/E7-1</f>
        <v>0.275357821480559</v>
      </c>
    </row>
    <row r="8" customFormat="false" ht="15" hidden="false" customHeight="false" outlineLevel="0" collapsed="false">
      <c r="A8" s="17" t="n">
        <v>1.2</v>
      </c>
      <c r="B8" s="12" t="n">
        <f aca="false">Inputs!$B$12</f>
        <v>8</v>
      </c>
      <c r="C8" s="8" t="n">
        <f aca="false">(Design!$B$6+A8/B8)/Inputs!$B$9</f>
        <v>0.827464788732394</v>
      </c>
      <c r="D8" s="10" t="n">
        <f aca="false">MIN(Design!$B$5*(Design!$B$6+A8/B8),Inputs!$B$8)</f>
        <v>11.75</v>
      </c>
      <c r="E8" s="10" t="n">
        <f aca="false">D8+Inputs!$B$7</f>
        <v>12.25</v>
      </c>
      <c r="F8" s="14" t="n">
        <f aca="false">Design!$B$15/E8-1</f>
        <v>0.103417187539457</v>
      </c>
      <c r="G8" s="10" t="n">
        <f aca="false">E8*1000/(Design!$B$13*Design!$B$4*Inputs!$B$22)*10</f>
        <v>4.5313776660935</v>
      </c>
      <c r="H8" s="10" t="n">
        <f aca="false">B8*(Inputs!$B$10-Design!$B$6)</f>
        <v>20.4281690140845</v>
      </c>
      <c r="I8" s="12" t="n">
        <f aca="false">Inputs!$B$24+Inputs!$B$26+Inputs!$B$27+H8+Inputs!$B$28+Inputs!$B$29</f>
        <v>311.428169014085</v>
      </c>
      <c r="J8" s="10" t="n">
        <f aca="false">Design!$B$4*(A8+Inputs!$B$5)</f>
        <v>13.1466816017527</v>
      </c>
      <c r="K8" s="18" t="str">
        <f aca="false">IF(C8&lt;=Inputs!$B$11,"Yes","No")</f>
        <v>Yes</v>
      </c>
      <c r="L8" s="14" t="n">
        <f aca="false">Design!$B$13*5.5/10/1000*Design!$B$4*Inputs!$B$22/E8-1</f>
        <v>0.213758906293403</v>
      </c>
    </row>
    <row r="9" customFormat="false" ht="15" hidden="false" customHeight="false" outlineLevel="0" collapsed="false">
      <c r="A9" s="17" t="n">
        <v>1.4</v>
      </c>
      <c r="B9" s="12" t="n">
        <f aca="false">Inputs!$B$12</f>
        <v>8</v>
      </c>
      <c r="C9" s="8" t="n">
        <f aca="false">(Design!$B$6+A9/B9)/Inputs!$B$9</f>
        <v>0.869131455399061</v>
      </c>
      <c r="D9" s="10" t="n">
        <f aca="false">MIN(Design!$B$5*(Design!$B$6+A9/B9),Inputs!$B$8)</f>
        <v>12.3416666666667</v>
      </c>
      <c r="E9" s="10" t="n">
        <f aca="false">D9+Inputs!$B$7</f>
        <v>12.8416666666667</v>
      </c>
      <c r="F9" s="14" t="n">
        <f aca="false">Design!$B$15/E9-1</f>
        <v>0.0525783683861143</v>
      </c>
      <c r="G9" s="10" t="n">
        <f aca="false">E9*1000/(Design!$B$13*Design!$B$4*Inputs!$B$22)*10</f>
        <v>4.75024012479598</v>
      </c>
      <c r="H9" s="10" t="n">
        <f aca="false">B9*(Inputs!$B$10-Design!$B$6)</f>
        <v>20.4281690140845</v>
      </c>
      <c r="I9" s="12" t="n">
        <f aca="false">Inputs!$B$24+Inputs!$B$26+Inputs!$B$27+H9+Inputs!$B$28+Inputs!$B$29</f>
        <v>311.428169014085</v>
      </c>
      <c r="J9" s="10" t="n">
        <f aca="false">Design!$B$4*(A9+Inputs!$B$5)</f>
        <v>14.3418344746394</v>
      </c>
      <c r="K9" s="18" t="str">
        <f aca="false">IF(C9&lt;=Inputs!$B$11,"Yes","No")</f>
        <v>Yes</v>
      </c>
      <c r="L9" s="14" t="n">
        <f aca="false">Design!$B$13*5.5/10/1000*Design!$B$4*Inputs!$B$22/E9-1</f>
        <v>0.157836205224726</v>
      </c>
    </row>
    <row r="10" customFormat="false" ht="15" hidden="false" customHeight="false" outlineLevel="0" collapsed="false">
      <c r="A10" s="17" t="n">
        <v>1.6</v>
      </c>
      <c r="B10" s="12" t="n">
        <f aca="false">Inputs!$B$12</f>
        <v>8</v>
      </c>
      <c r="C10" s="8" t="n">
        <f aca="false">(Design!$B$6+A10/B10)/Inputs!$B$9</f>
        <v>0.910798122065728</v>
      </c>
      <c r="D10" s="10" t="n">
        <f aca="false">MIN(Design!$B$5*(Design!$B$6+A10/B10),Inputs!$B$8)</f>
        <v>12.9333333333333</v>
      </c>
      <c r="E10" s="10" t="n">
        <f aca="false">D10+Inputs!$B$7</f>
        <v>13.4333333333333</v>
      </c>
      <c r="F10" s="14" t="n">
        <f aca="false">Design!$B$15/E10-1</f>
        <v>0.00621790675124201</v>
      </c>
      <c r="G10" s="10" t="n">
        <f aca="false">E10*1000/(Design!$B$13*Design!$B$4*Inputs!$B$22)*10</f>
        <v>4.96910258349845</v>
      </c>
      <c r="H10" s="10" t="n">
        <f aca="false">B10*(Inputs!$B$10-Design!$B$6)</f>
        <v>20.4281690140845</v>
      </c>
      <c r="I10" s="12" t="n">
        <f aca="false">Inputs!$B$24+Inputs!$B$26+Inputs!$B$27+H10+Inputs!$B$28+Inputs!$B$29</f>
        <v>311.428169014085</v>
      </c>
      <c r="J10" s="10" t="n">
        <f aca="false">Design!$B$4*(A10+Inputs!$B$5)</f>
        <v>15.536987347526</v>
      </c>
      <c r="K10" s="18" t="str">
        <f aca="false">IF(C10&lt;=Inputs!$B$11,"Yes","No")</f>
        <v>No</v>
      </c>
      <c r="L10" s="14" t="n">
        <f aca="false">Design!$B$13*5.5/10/1000*Design!$B$4*Inputs!$B$22/E10-1</f>
        <v>0.106839697426366</v>
      </c>
    </row>
    <row r="11" customFormat="false" ht="15" hidden="false" customHeight="false" outlineLevel="0" collapsed="false">
      <c r="A11" s="17" t="n">
        <v>1.8</v>
      </c>
      <c r="B11" s="12" t="n">
        <f aca="false">Inputs!$B$12</f>
        <v>8</v>
      </c>
      <c r="C11" s="8" t="n">
        <f aca="false">(Design!$B$6+A11/B11)/Inputs!$B$9</f>
        <v>0.952464788732394</v>
      </c>
      <c r="D11" s="10" t="n">
        <f aca="false">MIN(Design!$B$5*(Design!$B$6+A11/B11),Inputs!$B$8)</f>
        <v>13.525</v>
      </c>
      <c r="E11" s="10" t="n">
        <f aca="false">D11+Inputs!$B$7</f>
        <v>14.025</v>
      </c>
      <c r="F11" s="14" t="n">
        <f aca="false">Design!$B$15/E11-1</f>
        <v>-0.0362309770154474</v>
      </c>
      <c r="G11" s="10" t="n">
        <f aca="false">E11*1000/(Design!$B$13*Design!$B$4*Inputs!$B$22)*10</f>
        <v>5.18796504220093</v>
      </c>
      <c r="H11" s="10" t="n">
        <f aca="false">B11*(Inputs!$B$10-Design!$B$6)</f>
        <v>20.4281690140845</v>
      </c>
      <c r="I11" s="12" t="n">
        <f aca="false">Inputs!$B$24+Inputs!$B$26+Inputs!$B$27+H11+Inputs!$B$28+Inputs!$B$29</f>
        <v>311.428169014085</v>
      </c>
      <c r="J11" s="10" t="n">
        <f aca="false">Design!$B$4*(A11+Inputs!$B$5)</f>
        <v>16.7321402204126</v>
      </c>
      <c r="K11" s="18" t="str">
        <f aca="false">IF(C11&lt;=Inputs!$B$11,"Yes","No")</f>
        <v>No</v>
      </c>
      <c r="L11" s="14" t="n">
        <f aca="false">Design!$B$13*5.5/10/1000*Design!$B$4*Inputs!$B$22/E11-1</f>
        <v>0.0601459252830079</v>
      </c>
    </row>
    <row r="12" customFormat="false" ht="15" hidden="false" customHeight="false" outlineLevel="0" collapsed="false">
      <c r="A12" s="17" t="n">
        <v>2</v>
      </c>
      <c r="B12" s="12" t="n">
        <f aca="false">Inputs!$B$12</f>
        <v>8</v>
      </c>
      <c r="C12" s="8" t="n">
        <f aca="false">(Design!$B$6+A12/B12)/Inputs!$B$9</f>
        <v>0.994131455399061</v>
      </c>
      <c r="D12" s="10" t="n">
        <f aca="false">MIN(Design!$B$5*(Design!$B$6+A12/B12),Inputs!$B$8)</f>
        <v>14.1166666666667</v>
      </c>
      <c r="E12" s="10" t="n">
        <f aca="false">D12+Inputs!$B$7</f>
        <v>14.6166666666667</v>
      </c>
      <c r="F12" s="14" t="n">
        <f aca="false">Design!$B$15/E12-1</f>
        <v>-0.0752432920849476</v>
      </c>
      <c r="G12" s="10" t="n">
        <f aca="false">E12*1000/(Design!$B$13*Design!$B$4*Inputs!$B$22)*10</f>
        <v>5.4068275009034</v>
      </c>
      <c r="H12" s="10" t="n">
        <f aca="false">B12*(Inputs!$B$10-Design!$B$6)</f>
        <v>20.4281690140845</v>
      </c>
      <c r="I12" s="12" t="n">
        <f aca="false">Inputs!$B$24+Inputs!$B$26+Inputs!$B$27+H12+Inputs!$B$28+Inputs!$B$29</f>
        <v>311.428169014085</v>
      </c>
      <c r="J12" s="10" t="n">
        <f aca="false">Design!$B$4*(A12+Inputs!$B$5)</f>
        <v>17.9272930932992</v>
      </c>
      <c r="K12" s="18" t="str">
        <f aca="false">IF(C12&lt;=Inputs!$B$11,"Yes","No")</f>
        <v>No</v>
      </c>
      <c r="L12" s="14" t="n">
        <f aca="false">Design!$B$13*5.5/10/1000*Design!$B$4*Inputs!$B$22/E12-1</f>
        <v>0.0172323787065576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</cols>
  <sheetData>
    <row r="1" customFormat="false" ht="16.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19" t="s">
        <v>165</v>
      </c>
    </row>
    <row r="5" customFormat="false" ht="15" hidden="false" customHeight="false" outlineLevel="0" collapsed="false">
      <c r="A5" s="3" t="s">
        <v>166</v>
      </c>
      <c r="B5" s="20" t="n">
        <v>4.5</v>
      </c>
      <c r="C5" s="20" t="n">
        <v>5</v>
      </c>
      <c r="D5" s="20" t="n">
        <v>5.5</v>
      </c>
      <c r="E5" s="20" t="n">
        <v>6.2</v>
      </c>
    </row>
    <row r="6" customFormat="false" ht="15" hidden="false" customHeight="false" outlineLevel="0" collapsed="false">
      <c r="A6" s="7" t="n">
        <v>8.5</v>
      </c>
      <c r="B6" s="10" t="n">
        <f aca="false">Design!$B$13*B$5/10/1000/TAN(RADIANS($A6))*Inputs!$B$22</f>
        <v>13.621534958943</v>
      </c>
      <c r="C6" s="10" t="n">
        <f aca="false">Design!$B$13*C$5/10/1000/TAN(RADIANS($A6))*Inputs!$B$22</f>
        <v>15.13503884327</v>
      </c>
      <c r="D6" s="10" t="n">
        <f aca="false">Design!$B$13*D$5/10/1000/TAN(RADIANS($A6))*Inputs!$B$22</f>
        <v>16.648542727597</v>
      </c>
      <c r="E6" s="10" t="n">
        <f aca="false">Design!$B$13*E$5/10/1000/TAN(RADIANS($A6))*Inputs!$B$22</f>
        <v>18.7674481656548</v>
      </c>
    </row>
    <row r="7" customFormat="false" ht="15" hidden="false" customHeight="false" outlineLevel="0" collapsed="false">
      <c r="A7" s="7" t="n">
        <v>9.5</v>
      </c>
      <c r="B7" s="10" t="n">
        <f aca="false">Design!$B$13*B$5/10/1000/TAN(RADIANS($A7))*Inputs!$B$22</f>
        <v>12.1651744926225</v>
      </c>
      <c r="C7" s="10" t="n">
        <f aca="false">Design!$B$13*C$5/10/1000/TAN(RADIANS($A7))*Inputs!$B$22</f>
        <v>13.5168605473584</v>
      </c>
      <c r="D7" s="10" t="n">
        <f aca="false">Design!$B$13*D$5/10/1000/TAN(RADIANS($A7))*Inputs!$B$22</f>
        <v>14.8685466020942</v>
      </c>
      <c r="E7" s="10" t="n">
        <f aca="false">Design!$B$13*E$5/10/1000/TAN(RADIANS($A7))*Inputs!$B$22</f>
        <v>16.7609070787244</v>
      </c>
    </row>
    <row r="8" customFormat="false" ht="15" hidden="false" customHeight="false" outlineLevel="0" collapsed="false">
      <c r="A8" s="7" t="n">
        <v>10.5</v>
      </c>
      <c r="B8" s="10" t="n">
        <f aca="false">Design!$B$13*B$5/10/1000/TAN(RADIANS($A8))*Inputs!$B$22</f>
        <v>10.9839350919187</v>
      </c>
      <c r="C8" s="10" t="n">
        <f aca="false">Design!$B$13*C$5/10/1000/TAN(RADIANS($A8))*Inputs!$B$22</f>
        <v>12.2043723243542</v>
      </c>
      <c r="D8" s="10" t="n">
        <f aca="false">Design!$B$13*D$5/10/1000/TAN(RADIANS($A8))*Inputs!$B$22</f>
        <v>13.4248095567896</v>
      </c>
      <c r="E8" s="10" t="n">
        <f aca="false">Design!$B$13*E$5/10/1000/TAN(RADIANS($A8))*Inputs!$B$22</f>
        <v>15.1334216821992</v>
      </c>
    </row>
    <row r="10" customFormat="false" ht="15" hidden="false" customHeight="false" outlineLevel="0" collapsed="false">
      <c r="A10" s="19" t="s">
        <v>167</v>
      </c>
    </row>
    <row r="11" customFormat="false" ht="15" hidden="false" customHeight="false" outlineLevel="0" collapsed="false">
      <c r="A11" s="3" t="s">
        <v>166</v>
      </c>
      <c r="B11" s="20" t="n">
        <v>4.5</v>
      </c>
      <c r="C11" s="20" t="n">
        <v>5</v>
      </c>
      <c r="D11" s="20" t="n">
        <v>5.5</v>
      </c>
      <c r="E11" s="20" t="n">
        <v>6.2</v>
      </c>
    </row>
    <row r="12" customFormat="false" ht="15" hidden="false" customHeight="false" outlineLevel="0" collapsed="false">
      <c r="A12" s="7" t="n">
        <v>8.5</v>
      </c>
      <c r="B12" s="14" t="n">
        <f aca="false">Design!$B$13*B$11/10/1000/TAN(RADIANS($A12))*Inputs!$B$22/Design!$B$12-1</f>
        <v>0.111962037464737</v>
      </c>
      <c r="C12" s="14" t="n">
        <f aca="false">Design!$B$13*C$11/10/1000/TAN(RADIANS($A12))*Inputs!$B$22/Design!$B$12-1</f>
        <v>0.235513374960819</v>
      </c>
      <c r="D12" s="14" t="n">
        <f aca="false">Design!$B$13*D$11/10/1000/TAN(RADIANS($A12))*Inputs!$B$22/Design!$B$12-1</f>
        <v>0.359064712456901</v>
      </c>
      <c r="E12" s="14" t="n">
        <f aca="false">Design!$B$13*E$11/10/1000/TAN(RADIANS($A12))*Inputs!$B$22/Design!$B$12-1</f>
        <v>0.532036584951416</v>
      </c>
    </row>
    <row r="13" customFormat="false" ht="15" hidden="false" customHeight="false" outlineLevel="0" collapsed="false">
      <c r="A13" s="7" t="n">
        <v>9.5</v>
      </c>
      <c r="B13" s="14" t="n">
        <f aca="false">Design!$B$13*B$11/10/1000/TAN(RADIANS($A13))*Inputs!$B$22/Design!$B$12-1</f>
        <v>-0.00692453121448855</v>
      </c>
      <c r="C13" s="14" t="n">
        <f aca="false">Design!$B$13*C$11/10/1000/TAN(RADIANS($A13))*Inputs!$B$22/Design!$B$12-1</f>
        <v>0.103417187539457</v>
      </c>
      <c r="D13" s="14" t="n">
        <f aca="false">Design!$B$13*D$11/10/1000/TAN(RADIANS($A13))*Inputs!$B$22/Design!$B$12-1</f>
        <v>0.213758906293403</v>
      </c>
      <c r="E13" s="14" t="n">
        <f aca="false">Design!$B$13*E$11/10/1000/TAN(RADIANS($A13))*Inputs!$B$22/Design!$B$12-1</f>
        <v>0.368237312548927</v>
      </c>
    </row>
    <row r="14" customFormat="false" ht="15" hidden="false" customHeight="false" outlineLevel="0" collapsed="false">
      <c r="A14" s="7" t="n">
        <v>10.5</v>
      </c>
      <c r="B14" s="14" t="n">
        <f aca="false">Design!$B$13*B$11/10/1000/TAN(RADIANS($A14))*Inputs!$B$22/Design!$B$12-1</f>
        <v>-0.103352237394388</v>
      </c>
      <c r="C14" s="14" t="n">
        <f aca="false">Design!$B$13*C$11/10/1000/TAN(RADIANS($A14))*Inputs!$B$22/Design!$B$12-1</f>
        <v>-0.00372470821598647</v>
      </c>
      <c r="D14" s="14" t="n">
        <f aca="false">Design!$B$13*D$11/10/1000/TAN(RADIANS($A14))*Inputs!$B$22/Design!$B$12-1</f>
        <v>0.0959028209624149</v>
      </c>
      <c r="E14" s="14" t="n">
        <f aca="false">Design!$B$13*E$11/10/1000/TAN(RADIANS($A14))*Inputs!$B$22/Design!$B$12-1</f>
        <v>0.235381361812177</v>
      </c>
    </row>
    <row r="16" customFormat="false" ht="15" hidden="false" customHeight="false" outlineLevel="0" collapsed="false">
      <c r="A16" s="19" t="s">
        <v>168</v>
      </c>
    </row>
    <row r="17" customFormat="false" ht="15" hidden="false" customHeight="false" outlineLevel="0" collapsed="false">
      <c r="A17" s="3" t="s">
        <v>166</v>
      </c>
      <c r="B17" s="20" t="n">
        <v>4.5</v>
      </c>
      <c r="C17" s="20" t="n">
        <v>5</v>
      </c>
      <c r="D17" s="20" t="n">
        <v>5.5</v>
      </c>
      <c r="E17" s="20" t="n">
        <v>6.2</v>
      </c>
    </row>
    <row r="18" customFormat="false" ht="15" hidden="false" customHeight="false" outlineLevel="0" collapsed="false">
      <c r="A18" s="7" t="n">
        <v>8.5</v>
      </c>
      <c r="B18" s="10" t="n">
        <f aca="false">Design!$B$13*B$17/10/1000/TAN(RADIANS($A18))*Inputs!$B$22-Inputs!$B$6</f>
        <v>5.42153495894303</v>
      </c>
      <c r="C18" s="10" t="n">
        <f aca="false">Design!$B$13*C$17/10/1000/TAN(RADIANS($A18))*Inputs!$B$22-Inputs!$B$6</f>
        <v>6.93503884327004</v>
      </c>
      <c r="D18" s="10" t="n">
        <f aca="false">Design!$B$13*D$17/10/1000/TAN(RADIANS($A18))*Inputs!$B$22-Inputs!$B$6</f>
        <v>8.44854272759704</v>
      </c>
      <c r="E18" s="10" t="n">
        <f aca="false">Design!$B$13*E$17/10/1000/TAN(RADIANS($A18))*Inputs!$B$22-Inputs!$B$6</f>
        <v>10.5674481656548</v>
      </c>
    </row>
    <row r="19" customFormat="false" ht="15" hidden="false" customHeight="false" outlineLevel="0" collapsed="false">
      <c r="A19" s="7" t="n">
        <v>9.5</v>
      </c>
      <c r="B19" s="10" t="n">
        <f aca="false">Design!$B$13*B$17/10/1000/TAN(RADIANS($A19))*Inputs!$B$22-Inputs!$B$6</f>
        <v>3.96517449262251</v>
      </c>
      <c r="C19" s="10" t="n">
        <f aca="false">Design!$B$13*C$17/10/1000/TAN(RADIANS($A19))*Inputs!$B$22-Inputs!$B$6</f>
        <v>5.31686054735835</v>
      </c>
      <c r="D19" s="10" t="n">
        <f aca="false">Design!$B$13*D$17/10/1000/TAN(RADIANS($A19))*Inputs!$B$22-Inputs!$B$6</f>
        <v>6.66854660209419</v>
      </c>
      <c r="E19" s="10" t="n">
        <f aca="false">Design!$B$13*E$17/10/1000/TAN(RADIANS($A19))*Inputs!$B$22-Inputs!$B$6</f>
        <v>8.56090707872436</v>
      </c>
    </row>
    <row r="20" customFormat="false" ht="15" hidden="false" customHeight="false" outlineLevel="0" collapsed="false">
      <c r="A20" s="7" t="n">
        <v>10.5</v>
      </c>
      <c r="B20" s="10" t="n">
        <f aca="false">Design!$B$13*B$17/10/1000/TAN(RADIANS($A20))*Inputs!$B$22-Inputs!$B$6</f>
        <v>2.78393509191875</v>
      </c>
      <c r="C20" s="10" t="n">
        <f aca="false">Design!$B$13*C$17/10/1000/TAN(RADIANS($A20))*Inputs!$B$22-Inputs!$B$6</f>
        <v>4.00437232435417</v>
      </c>
      <c r="D20" s="10" t="n">
        <f aca="false">Design!$B$13*D$17/10/1000/TAN(RADIANS($A20))*Inputs!$B$22-Inputs!$B$6</f>
        <v>5.22480955678958</v>
      </c>
      <c r="E20" s="10" t="n">
        <f aca="false">Design!$B$13*E$17/10/1000/TAN(RADIANS($A20))*Inputs!$B$22-Inputs!$B$6</f>
        <v>6.93342168219917</v>
      </c>
    </row>
    <row r="22" customFormat="false" ht="15" hidden="false" customHeight="false" outlineLevel="0" collapsed="false">
      <c r="A22" s="19" t="s">
        <v>169</v>
      </c>
    </row>
    <row r="23" customFormat="false" ht="15" hidden="false" customHeight="false" outlineLevel="0" collapsed="false">
      <c r="A23" s="3" t="s">
        <v>166</v>
      </c>
      <c r="B23" s="20" t="n">
        <v>4.5</v>
      </c>
      <c r="C23" s="20" t="n">
        <v>5</v>
      </c>
      <c r="D23" s="20" t="n">
        <v>5.5</v>
      </c>
      <c r="E23" s="20" t="n">
        <v>6.2</v>
      </c>
    </row>
    <row r="24" customFormat="false" ht="15" hidden="false" customHeight="false" outlineLevel="0" collapsed="false">
      <c r="A24" s="7" t="n">
        <v>8.5</v>
      </c>
      <c r="B24" s="10" t="n">
        <f aca="false">Inputs!$B$23/(Design!$B$13*B$23/10/1000/TAN(RADIANS($A24))*Inputs!$B$22-Inputs!$B$6)</f>
        <v>2.58229451733157</v>
      </c>
      <c r="C24" s="10" t="n">
        <f aca="false">Inputs!$B$23/(Design!$B$13*C$23/10/1000/TAN(RADIANS($A24))*Inputs!$B$22-Inputs!$B$6)</f>
        <v>2.01873418684396</v>
      </c>
      <c r="D24" s="10" t="n">
        <f aca="false">Inputs!$B$23/(Design!$B$13*D$23/10/1000/TAN(RADIANS($A24))*Inputs!$B$22-Inputs!$B$6)</f>
        <v>1.65709051269507</v>
      </c>
      <c r="E24" s="10" t="n">
        <f aca="false">Inputs!$B$23/(Design!$B$13*E$23/10/1000/TAN(RADIANS($A24))*Inputs!$B$22-Inputs!$B$6)</f>
        <v>1.3248231531905</v>
      </c>
    </row>
    <row r="25" customFormat="false" ht="15" hidden="false" customHeight="false" outlineLevel="0" collapsed="false">
      <c r="A25" s="7" t="n">
        <v>9.5</v>
      </c>
      <c r="B25" s="10" t="n">
        <f aca="false">Inputs!$B$23/(Design!$B$13*B$23/10/1000/TAN(RADIANS($A25))*Inputs!$B$22-Inputs!$B$6)</f>
        <v>3.53073995256652</v>
      </c>
      <c r="C25" s="10" t="n">
        <f aca="false">Inputs!$B$23/(Design!$B$13*C$23/10/1000/TAN(RADIANS($A25))*Inputs!$B$22-Inputs!$B$6)</f>
        <v>2.63313281875633</v>
      </c>
      <c r="D25" s="10" t="n">
        <f aca="false">Inputs!$B$23/(Design!$B$13*D$23/10/1000/TAN(RADIANS($A25))*Inputs!$B$22-Inputs!$B$6)</f>
        <v>2.09940798728218</v>
      </c>
      <c r="E25" s="10" t="n">
        <f aca="false">Inputs!$B$23/(Design!$B$13*E$23/10/1000/TAN(RADIANS($A25))*Inputs!$B$22-Inputs!$B$6)</f>
        <v>1.63534072631076</v>
      </c>
    </row>
    <row r="26" customFormat="false" ht="15" hidden="false" customHeight="false" outlineLevel="0" collapsed="false">
      <c r="A26" s="7" t="n">
        <v>10.5</v>
      </c>
      <c r="B26" s="10" t="n">
        <f aca="false">Inputs!$B$23/(Design!$B$13*B$23/10/1000/TAN(RADIANS($A26))*Inputs!$B$22-Inputs!$B$6)</f>
        <v>5.02885287830145</v>
      </c>
      <c r="C26" s="10" t="n">
        <f aca="false">Inputs!$B$23/(Design!$B$13*C$23/10/1000/TAN(RADIANS($A26))*Inputs!$B$22-Inputs!$B$6)</f>
        <v>3.49617839351588</v>
      </c>
      <c r="D26" s="10" t="n">
        <f aca="false">Inputs!$B$23/(Design!$B$13*D$23/10/1000/TAN(RADIANS($A26))*Inputs!$B$22-Inputs!$B$6)</f>
        <v>2.6795235018293</v>
      </c>
      <c r="E26" s="10" t="n">
        <f aca="false">Inputs!$B$23/(Design!$B$13*E$23/10/1000/TAN(RADIANS($A26))*Inputs!$B$22-Inputs!$B$6)</f>
        <v>2.0192050392584</v>
      </c>
    </row>
    <row r="28" customFormat="false" ht="15" hidden="false" customHeight="false" outlineLevel="0" collapsed="false">
      <c r="A28" s="19" t="s">
        <v>170</v>
      </c>
    </row>
    <row r="29" customFormat="false" ht="15" hidden="false" customHeight="false" outlineLevel="0" collapsed="false">
      <c r="A29" s="3" t="s">
        <v>166</v>
      </c>
      <c r="B29" s="20" t="n">
        <v>4.5</v>
      </c>
      <c r="C29" s="20" t="n">
        <v>5</v>
      </c>
      <c r="D29" s="20" t="n">
        <v>5.5</v>
      </c>
      <c r="E29" s="20" t="n">
        <v>6.2</v>
      </c>
    </row>
    <row r="30" customFormat="false" ht="15" hidden="false" customHeight="false" outlineLevel="0" collapsed="false">
      <c r="A30" s="7" t="n">
        <v>8.5</v>
      </c>
      <c r="B30" s="10" t="n">
        <f aca="false">1/TAN(RADIANS($A30))*(Inputs!$B$4+Inputs!$B$5)</f>
        <v>14.7205437242983</v>
      </c>
      <c r="C30" s="10" t="n">
        <f aca="false">1/TAN(RADIANS($A30))*(Inputs!$B$4+Inputs!$B$5)</f>
        <v>14.7205437242983</v>
      </c>
      <c r="D30" s="10" t="n">
        <f aca="false">1/TAN(RADIANS($A30))*(Inputs!$B$4+Inputs!$B$5)</f>
        <v>14.7205437242983</v>
      </c>
      <c r="E30" s="10" t="n">
        <f aca="false">1/TAN(RADIANS($A30))*(Inputs!$B$4+Inputs!$B$5)</f>
        <v>14.7205437242983</v>
      </c>
    </row>
    <row r="31" customFormat="false" ht="15" hidden="false" customHeight="false" outlineLevel="0" collapsed="false">
      <c r="A31" s="7" t="n">
        <v>9.5</v>
      </c>
      <c r="B31" s="10" t="n">
        <f aca="false">1/TAN(RADIANS($A31))*(Inputs!$B$4+Inputs!$B$5)</f>
        <v>13.1466816017527</v>
      </c>
      <c r="C31" s="10" t="n">
        <f aca="false">1/TAN(RADIANS($A31))*(Inputs!$B$4+Inputs!$B$5)</f>
        <v>13.1466816017527</v>
      </c>
      <c r="D31" s="10" t="n">
        <f aca="false">1/TAN(RADIANS($A31))*(Inputs!$B$4+Inputs!$B$5)</f>
        <v>13.1466816017527</v>
      </c>
      <c r="E31" s="10" t="n">
        <f aca="false">1/TAN(RADIANS($A31))*(Inputs!$B$4+Inputs!$B$5)</f>
        <v>13.1466816017527</v>
      </c>
    </row>
    <row r="32" customFormat="false" ht="15" hidden="false" customHeight="false" outlineLevel="0" collapsed="false">
      <c r="A32" s="7" t="n">
        <v>10.5</v>
      </c>
      <c r="B32" s="10" t="n">
        <f aca="false">1/TAN(RADIANS($A32))*(Inputs!$B$4+Inputs!$B$5)</f>
        <v>11.8701377835021</v>
      </c>
      <c r="C32" s="10" t="n">
        <f aca="false">1/TAN(RADIANS($A32))*(Inputs!$B$4+Inputs!$B$5)</f>
        <v>11.8701377835021</v>
      </c>
      <c r="D32" s="10" t="n">
        <f aca="false">1/TAN(RADIANS($A32))*(Inputs!$B$4+Inputs!$B$5)</f>
        <v>11.8701377835021</v>
      </c>
      <c r="E32" s="10" t="n">
        <f aca="false">1/TAN(RADIANS($A32))*(Inputs!$B$4+Inputs!$B$5)</f>
        <v>11.8701377835021</v>
      </c>
    </row>
    <row r="35" customFormat="false" ht="15" hidden="false" customHeight="false" outlineLevel="0" collapsed="false">
      <c r="A35" s="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1" t="s">
        <v>173</v>
      </c>
    </row>
    <row r="3" customFormat="false" ht="15" hidden="false" customHeight="false" outlineLevel="0" collapsed="false">
      <c r="A3" s="21" t="s">
        <v>174</v>
      </c>
    </row>
    <row r="4" customFormat="false" ht="15" hidden="false" customHeight="false" outlineLevel="0" collapsed="false">
      <c r="A4" s="21" t="s">
        <v>175</v>
      </c>
    </row>
    <row r="5" customFormat="false" ht="15" hidden="false" customHeight="false" outlineLevel="0" collapsed="false">
      <c r="A5" s="21" t="s">
        <v>176</v>
      </c>
    </row>
    <row r="6" customFormat="false" ht="15" hidden="false" customHeight="false" outlineLevel="0" collapsed="false">
      <c r="A6" s="21" t="s">
        <v>177</v>
      </c>
    </row>
    <row r="7" customFormat="false" ht="15" hidden="false" customHeight="false" outlineLevel="0" collapsed="false">
      <c r="A7" s="21" t="s">
        <v>178</v>
      </c>
    </row>
    <row r="8" customFormat="false" ht="15" hidden="false" customHeight="false" outlineLevel="0" collapsed="false">
      <c r="A8" s="21" t="s">
        <v>179</v>
      </c>
    </row>
    <row r="9" customFormat="false" ht="15" hidden="false" customHeight="false" outlineLevel="0" collapsed="false">
      <c r="A9" s="21" t="s">
        <v>180</v>
      </c>
    </row>
    <row r="10" customFormat="false" ht="15" hidden="false" customHeight="false" outlineLevel="0" collapsed="false">
      <c r="A10" s="21" t="s">
        <v>181</v>
      </c>
    </row>
    <row r="11" customFormat="false" ht="15" hidden="false" customHeight="false" outlineLevel="0" collapsed="false">
      <c r="A11" s="21" t="s">
        <v>182</v>
      </c>
    </row>
    <row r="12" customFormat="false" ht="15" hidden="false" customHeight="false" outlineLevel="0" collapsed="false">
      <c r="A12" s="21" t="s">
        <v>183</v>
      </c>
    </row>
    <row r="13" customFormat="false" ht="15" hidden="false" customHeight="false" outlineLevel="0" collapsed="false">
      <c r="A13" s="21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2026-10-28T23:17:56Z</dcterms:created>
  <dc:creator>openpyxl</dc:creator>
  <dc:description/>
  <dc:language>en-US</dc:language>
  <cp:lastModifiedBy/>
  <dcterms:modified xsi:type="dcterms:W3CDTF">2026-10-28T23:17:56Z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
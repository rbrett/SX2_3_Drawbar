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Inputs" sheetId="2" state="visible" r:id="rId4"/>
    <sheet name="Washer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<sst xmlns="http://schemas.openxmlformats.org/spreadsheetml/2006/main" count="81" uniqueCount="81">
  <si>
    <t xml:space="preserve">Belleville stack comparison: 16 × A50 single vs A40 in pairs</t>
  </si>
  <si>
    <t xml:space="preserve">Blue = input you can change · black = formula · yellow = fill in from the quote</t>
  </si>
  <si>
    <t xml:space="preserve">Parameter</t>
  </si>
  <si>
    <t xml:space="preserve">A50 single</t>
  </si>
  <si>
    <t xml:space="preserve">A40 in pairs</t>
  </si>
  <si>
    <t xml:space="preserve">Washer size</t>
  </si>
  <si>
    <t xml:space="preserve">Washers per group (parallel)</t>
  </si>
  <si>
    <t xml:space="preserve">Per-washer force at preload (kN)</t>
  </si>
  <si>
    <t xml:space="preserve">Preload deflection (× h0)</t>
  </si>
  <si>
    <t xml:space="preserve">Travel per group to limit (mm)</t>
  </si>
  <si>
    <t xml:space="preserve">Minimum groups to stay within limit</t>
  </si>
  <si>
    <t xml:space="preserve">Groups in series (chosen)</t>
  </si>
  <si>
    <t xml:space="preserve">Within deflection limit?</t>
  </si>
  <si>
    <t xml:space="preserve">Total washers</t>
  </si>
  <si>
    <t xml:space="preserve">Release deflection (× h0)</t>
  </si>
  <si>
    <t xml:space="preserve">Release force (kN)</t>
  </si>
  <si>
    <t xml:space="preserve">Required at drawbar incl. P (kN)</t>
  </si>
  <si>
    <t xml:space="preserve">Cylinder margin</t>
  </si>
  <si>
    <t xml:space="preserve">Group free height (mm)</t>
  </si>
  <si>
    <t xml:space="preserve">Free stack length (mm)</t>
  </si>
  <si>
    <t xml:space="preserve">Preloaded stack length (mm)</t>
  </si>
  <si>
    <t xml:space="preserve">Stack-height guide, 3 × OD (mm)</t>
  </si>
  <si>
    <t xml:space="preserve">Stack-height check</t>
  </si>
  <si>
    <t xml:space="preserve">Washer mass, total (g)</t>
  </si>
  <si>
    <t xml:space="preserve">Cap washer bore (mm)</t>
  </si>
  <si>
    <t xml:space="preserve">Cap OD, estimate (mm)</t>
  </si>
  <si>
    <t xml:space="preserve">Friction between washers</t>
  </si>
  <si>
    <t xml:space="preserve">None (series only)</t>
  </si>
  <si>
    <t xml:space="preserve">Yes, at every pair</t>
  </si>
  <si>
    <t xml:space="preserve">Unit price ($ per washer)</t>
  </si>
  <si>
    <t xml:space="preserve">Washer cost ($)</t>
  </si>
  <si>
    <t xml:space="preserve">Why A50 single was favoured</t>
  </si>
  <si>
    <t xml:space="preserve">1. Predictability: washers in a parallel pair rub as they flex. That friction adds hysteresis, so real release force is higher and clamp force lower and less repeatable than calculated, and preload set by stack height is less exact. Grease (MoS₂) reduces it but does not remove it. Series-only stacks avoid it.</t>
  </si>
  <si>
    <t xml:space="preserve">2. Cylinder margin: A40 pairs leave less margin before friction. A 5.5:1 lever or running at 6.2 bar restores it.</t>
  </si>
  <si>
    <t xml:space="preserve">3. Shorter stack and drawbar: about 23 mm less height. Headroom is not a constraint on this machine, so minor.</t>
  </si>
  <si>
    <t xml:space="preserve">Where A40 pairs win</t>
  </si>
  <si>
    <t xml:space="preserve">1. Smaller cap: turns from 70–75 mm bar instead of 85 mm, cheaper and less machining, with less rotating diameter at up to 2,500 rpm.</t>
  </si>
  <si>
    <t xml:space="preserve">2. Availability: A40 is a common size and may be easier to get locally.</t>
  </si>
  <si>
    <t xml:space="preserve">3. Cost, possibly: depends on the quote. 32 × A40 only wins if each is well under half the price of an A50; enter both unit prices above.</t>
  </si>
  <si>
    <t xml:space="preserve">Bottom line</t>
  </si>
  <si>
    <t xml:space="preserve">Both work; fatigue and washer mass are about equal. Let the quote decide: if A40s are cheap and in stock, use A40 pairs with a 5.5:1 lever and MoS₂ grease between washers; otherwise 16 × A50 single.</t>
  </si>
  <si>
    <t xml:space="preserve">Method notes</t>
  </si>
  <si>
    <t xml:space="preserve">Forces are linearly interpolated between the DIN 2093 tabulated points (0.25, 0.5, 0.75, 1.0 h0). Group count is an input (blue); the minimum count for the deflection limit is shown beside it. Results differ slightly from the chat figures (A50 10.4 kN, A40 11.2 kN), which assumed exactly 0.64 h0 at release rather than the deflection 16 groups actually gives. Friction is not modelled.</t>
  </si>
  <si>
    <t xml:space="preserve">Design inputs</t>
  </si>
  <si>
    <t xml:space="preserve">Preload target (kN)</t>
  </si>
  <si>
    <t xml:space="preserve">Design preload; Hoss guidance for TTS on small mills is 6.7–8.9 kN (1,500–2,000 lbf).</t>
  </si>
  <si>
    <t xml:space="preserve">Release stroke s_r (mm)</t>
  </si>
  <si>
    <t xml:space="preserve">Assumed until the release test with the new collet.</t>
  </si>
  <si>
    <t xml:space="preserve">Collet push-out force P (kN)</t>
  </si>
  <si>
    <t xml:space="preserve">Assumed; first estimate from the taper break test.</t>
  </si>
  <si>
    <t xml:space="preserve">Release deflection limit (× h0)</t>
  </si>
  <si>
    <t xml:space="preserve">Design choice, below the 0.75 h0 recommended maximum dynamic deflection (DIN 2093 guidance, per Surisa).</t>
  </si>
  <si>
    <t xml:space="preserve">Cylinder bore (mm)</t>
  </si>
  <si>
    <t xml:space="preserve">Selected cylinder.</t>
  </si>
  <si>
    <t xml:space="preserve">Design pressure (bar)</t>
  </si>
  <si>
    <t xml:space="preserve">Supply is 90 psi (6.2 bar); 5.5 bar allows for line drop and cut-in.</t>
  </si>
  <si>
    <t xml:space="preserve">Lever ratio i</t>
  </si>
  <si>
    <t xml:space="preserve">Proposed; adjustable 5–6:1.</t>
  </si>
  <si>
    <t xml:space="preserve">Lever efficiency η</t>
  </si>
  <si>
    <t xml:space="preserve">Assumed.</t>
  </si>
  <si>
    <t xml:space="preserve">Force available at drawbar (kN)</t>
  </si>
  <si>
    <t xml:space="preserve">p × A × i × η</t>
  </si>
  <si>
    <t xml:space="preserve">Cap wall thickness (mm)</t>
  </si>
  <si>
    <t xml:space="preserve">Proposed.</t>
  </si>
  <si>
    <t xml:space="preserve">Washer OD guide clearance (mm)</t>
  </si>
  <si>
    <t xml:space="preserve">DIN 2093 guide tolerance for De &gt; 31.5–50 mm (Surisa).</t>
  </si>
  <si>
    <t xml:space="preserve">DIN 2093 series A washer data</t>
  </si>
  <si>
    <t xml:space="preserve">Size</t>
  </si>
  <si>
    <t xml:space="preserve">De (mm)</t>
  </si>
  <si>
    <t xml:space="preserve">Di (mm)</t>
  </si>
  <si>
    <t xml:space="preserve">t (mm)</t>
  </si>
  <si>
    <t xml:space="preserve">h0 (mm)</t>
  </si>
  <si>
    <t xml:space="preserve">l0 (mm)</t>
  </si>
  <si>
    <t xml:space="preserve">F 0.25 h0 (kN)</t>
  </si>
  <si>
    <t xml:space="preserve">F 0.5 h0 (kN)</t>
  </si>
  <si>
    <t xml:space="preserve">F 0.75 h0 (kN)</t>
  </si>
  <si>
    <t xml:space="preserve">F 1.0 h0 (kN)</t>
  </si>
  <si>
    <t xml:space="preserve">Mass each (g)</t>
  </si>
  <si>
    <t xml:space="preserve">A50 × 25.4 × 3</t>
  </si>
  <si>
    <t xml:space="preserve">A40 × 20.4 × 2.25</t>
  </si>
  <si>
    <t xml:space="preserve">Source: DIN 2093 table as published by Fasten.it, https://www.fasten.it/en/norms/norm/din_2093 (forces converted N → kN; mass = kg per 1,000 pcs).</t>
  </si>
</sst>
</file>

<file path=xl/styles.xml><?xml version="1.0" encoding="utf-8"?>
<styleSheet xmlns="http://schemas.openxmlformats.org/spreadsheetml/2006/main">
  <numFmts count="7">
    <numFmt numFmtId="164" formatCode="General"/>
    <numFmt numFmtId="165" formatCode="0.00"/>
    <numFmt numFmtId="166" formatCode="0.000"/>
    <numFmt numFmtId="167" formatCode="0"/>
    <numFmt numFmtId="168" formatCode="0.0"/>
    <numFmt numFmtId="169" formatCode="0%"/>
    <numFmt numFmtId="170" formatCode="\$#,##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1"/>
      <color rgb="FF595959"/>
      <name val="Arial"/>
      <family val="0"/>
      <charset val="1"/>
    </font>
    <font>
      <b val="true"/>
      <sz val="11"/>
      <name val="Arial"/>
      <family val="0"/>
      <charset val="1"/>
    </font>
    <font>
      <sz val="11"/>
      <name val="Arial"/>
      <family val="0"/>
      <charset val="1"/>
    </font>
    <font>
      <sz val="11"/>
      <color rgb="FF0000FF"/>
      <name val="Arial"/>
      <family val="0"/>
      <charset val="1"/>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70" fontId="8" fillId="3" borderId="1" xfId="0" applyFont="true" applyBorder="true" applyAlignment="true" applyProtection="false">
      <alignment horizontal="right"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20"/>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str">
        <f aca="false">Washers!A3</f>
        <v>A50 × 25.4 × 3</v>
      </c>
      <c r="C5" s="5" t="str">
        <f aca="false">Washers!A4</f>
        <v>A40 × 20.4 × 2.25</v>
      </c>
    </row>
    <row r="6" customFormat="false" ht="15" hidden="false" customHeight="false" outlineLevel="0" collapsed="false">
      <c r="A6" s="4" t="s">
        <v>6</v>
      </c>
      <c r="B6" s="6" t="n">
        <v>1</v>
      </c>
      <c r="C6" s="6" t="n">
        <v>2</v>
      </c>
    </row>
    <row r="7" customFormat="false" ht="15" hidden="false" customHeight="false" outlineLevel="0" collapsed="false">
      <c r="A7" s="4" t="s">
        <v>7</v>
      </c>
      <c r="B7" s="7" t="n">
        <f aca="false">Inputs!$B$2/B6</f>
        <v>8.2</v>
      </c>
      <c r="C7" s="7" t="n">
        <f aca="false">Inputs!$B$2/C6</f>
        <v>4.1</v>
      </c>
    </row>
    <row r="8" customFormat="false" ht="15" hidden="false" customHeight="false" outlineLevel="0" collapsed="false">
      <c r="A8" s="4" t="s">
        <v>8</v>
      </c>
      <c r="B8" s="7" t="n">
        <f aca="false">IF(B7&lt;=Washers!G3,0.25*B7/Washers!G3,IF(B7&lt;=Washers!H3,0.25+0.25*(B7-Washers!G3)/(Washers!H3-Washers!G3),IF(B7&lt;=Washers!I3,0.5+0.25*(B7-Washers!H3)/(Washers!I3-Washers!H3),0.75+0.25*(B7-Washers!I3)/(Washers!J3-Washers!I3))))</f>
        <v>0.499368686868687</v>
      </c>
      <c r="C8" s="7" t="n">
        <f aca="false">IF(C7&lt;=Washers!G4,0.25*C7/Washers!G4,IF(C7&lt;=Washers!H4,0.25+0.25*(C7-Washers!G4)/(Washers!H4-Washers!G4),IF(C7&lt;=Washers!I4,0.5+0.25*(C7-Washers!H4)/(Washers!I4-Washers!H4),0.75+0.25*(C7-Washers!I4)/(Washers!J4-Washers!I4))))</f>
        <v>0.455607476635514</v>
      </c>
    </row>
    <row r="9" customFormat="false" ht="15" hidden="false" customHeight="false" outlineLevel="0" collapsed="false">
      <c r="A9" s="4" t="s">
        <v>9</v>
      </c>
      <c r="B9" s="8" t="n">
        <f aca="false">(Inputs!$B$5-B8)*Washers!E3</f>
        <v>0.165694444444445</v>
      </c>
      <c r="C9" s="8" t="n">
        <f aca="false">(Inputs!$B$5-C8)*Washers!E4</f>
        <v>0.174953271028037</v>
      </c>
    </row>
    <row r="10" customFormat="false" ht="15" hidden="false" customHeight="false" outlineLevel="0" collapsed="false">
      <c r="A10" s="4" t="s">
        <v>10</v>
      </c>
      <c r="B10" s="9" t="n">
        <f aca="false">ROUNDUP(Inputs!$B$3/B9,0)</f>
        <v>16</v>
      </c>
      <c r="C10" s="9" t="n">
        <f aca="false">ROUNDUP(Inputs!$B$3/C9,0)</f>
        <v>15</v>
      </c>
    </row>
    <row r="11" customFormat="false" ht="15" hidden="false" customHeight="false" outlineLevel="0" collapsed="false">
      <c r="A11" s="4" t="s">
        <v>11</v>
      </c>
      <c r="B11" s="6" t="n">
        <v>16</v>
      </c>
      <c r="C11" s="6" t="n">
        <v>16</v>
      </c>
    </row>
    <row r="12" customFormat="false" ht="15" hidden="false" customHeight="false" outlineLevel="0" collapsed="false">
      <c r="A12" s="4" t="s">
        <v>12</v>
      </c>
      <c r="B12" s="5" t="str">
        <f aca="false">IF(B14&lt;=Inputs!$B$5,"Yes","No – add a group")</f>
        <v>Yes</v>
      </c>
      <c r="C12" s="5" t="str">
        <f aca="false">IF(C14&lt;=Inputs!$B$5,"Yes","No – add a group")</f>
        <v>Yes</v>
      </c>
    </row>
    <row r="13" customFormat="false" ht="15" hidden="false" customHeight="false" outlineLevel="0" collapsed="false">
      <c r="A13" s="4" t="s">
        <v>13</v>
      </c>
      <c r="B13" s="9" t="n">
        <f aca="false">B11*B6</f>
        <v>16</v>
      </c>
      <c r="C13" s="9" t="n">
        <f aca="false">C11*C6</f>
        <v>32</v>
      </c>
    </row>
    <row r="14" customFormat="false" ht="15" hidden="false" customHeight="false" outlineLevel="0" collapsed="false">
      <c r="A14" s="4" t="s">
        <v>14</v>
      </c>
      <c r="B14" s="7" t="n">
        <f aca="false">B8+Inputs!$B$3/B11/Washers!E3</f>
        <v>0.641414141414141</v>
      </c>
      <c r="C14" s="7" t="n">
        <f aca="false">C8+Inputs!$B$3/C11/Washers!E4</f>
        <v>0.629218587746625</v>
      </c>
    </row>
    <row r="15" customFormat="false" ht="15" hidden="false" customHeight="false" outlineLevel="0" collapsed="false">
      <c r="A15" s="4" t="s">
        <v>15</v>
      </c>
      <c r="B15" s="10" t="n">
        <f aca="false">B6*IF(B14&lt;=0.25,Washers!G3*B14/0.25,IF(B14&lt;=0.5,Washers!G3+(B14-0.25)/0.25*(Washers!H3-Washers!G3),IF(B14&lt;=0.75,Washers!H3+(B14-0.5)/0.25*(Washers!I3-Washers!H3),Washers!I3+(B14-0.75)/0.25*(Washers!J3-Washers!I3))))</f>
        <v>10.3538383838384</v>
      </c>
      <c r="C15" s="10" t="n">
        <f aca="false">C6*IF(C14&lt;=0.25,Washers!G4*C14/0.25,IF(C14&lt;=0.5,Washers!G4+(C14-0.25)/0.25*(Washers!H4-Washers!G4),IF(C14&lt;=0.75,Washers!H4+(C14-0.5)/0.25*(Washers!I4-Washers!H4),Washers!I4+(C14-0.75)/0.25*(Washers!J4-Washers!I4))))</f>
        <v>11.0481723779855</v>
      </c>
    </row>
    <row r="16" customFormat="false" ht="15" hidden="false" customHeight="false" outlineLevel="0" collapsed="false">
      <c r="A16" s="4" t="s">
        <v>16</v>
      </c>
      <c r="B16" s="10" t="n">
        <f aca="false">B15+Inputs!$B$4</f>
        <v>10.8538383838384</v>
      </c>
      <c r="C16" s="10" t="n">
        <f aca="false">C15+Inputs!$B$4</f>
        <v>11.5481723779855</v>
      </c>
    </row>
    <row r="17" customFormat="false" ht="15" hidden="false" customHeight="false" outlineLevel="0" collapsed="false">
      <c r="A17" s="4" t="s">
        <v>17</v>
      </c>
      <c r="B17" s="11" t="n">
        <f aca="false">Inputs!$B$10/B16-1</f>
        <v>0.146203441424011</v>
      </c>
      <c r="C17" s="11" t="n">
        <f aca="false">Inputs!$B$10/C16-1</f>
        <v>0.0772879466132306</v>
      </c>
    </row>
    <row r="18" customFormat="false" ht="15" hidden="false" customHeight="false" outlineLevel="0" collapsed="false">
      <c r="A18" s="4" t="s">
        <v>18</v>
      </c>
      <c r="B18" s="7" t="n">
        <f aca="false">Washers!F3+(B6-1)*Washers!D3</f>
        <v>4.1</v>
      </c>
      <c r="C18" s="7" t="n">
        <f aca="false">Washers!F4+(C6-1)*Washers!D4</f>
        <v>5.4</v>
      </c>
    </row>
    <row r="19" customFormat="false" ht="15" hidden="false" customHeight="false" outlineLevel="0" collapsed="false">
      <c r="A19" s="4" t="s">
        <v>19</v>
      </c>
      <c r="B19" s="10" t="n">
        <f aca="false">B11*B18</f>
        <v>65.6</v>
      </c>
      <c r="C19" s="10" t="n">
        <f aca="false">C11*C18</f>
        <v>86.4</v>
      </c>
    </row>
    <row r="20" customFormat="false" ht="15" hidden="false" customHeight="false" outlineLevel="0" collapsed="false">
      <c r="A20" s="4" t="s">
        <v>20</v>
      </c>
      <c r="B20" s="10" t="n">
        <f aca="false">B19-B11*B8*Washers!E3</f>
        <v>56.8111111111111</v>
      </c>
      <c r="C20" s="10" t="n">
        <f aca="false">C19-C11*C8*Washers!E4</f>
        <v>79.8392523364486</v>
      </c>
    </row>
    <row r="21" customFormat="false" ht="15" hidden="false" customHeight="false" outlineLevel="0" collapsed="false">
      <c r="A21" s="4" t="s">
        <v>21</v>
      </c>
      <c r="B21" s="9" t="n">
        <f aca="false">3*Washers!B3</f>
        <v>150</v>
      </c>
      <c r="C21" s="9" t="n">
        <f aca="false">3*Washers!B4</f>
        <v>120</v>
      </c>
    </row>
    <row r="22" customFormat="false" ht="15" hidden="false" customHeight="false" outlineLevel="0" collapsed="false">
      <c r="A22" s="4" t="s">
        <v>22</v>
      </c>
      <c r="B22" s="5" t="str">
        <f aca="false">IF(B19&lt;=B21,"OK","Exceeds")</f>
        <v>OK</v>
      </c>
      <c r="C22" s="5" t="str">
        <f aca="false">IF(C19&lt;=C21,"OK","Exceeds")</f>
        <v>OK</v>
      </c>
    </row>
    <row r="23" customFormat="false" ht="15" hidden="false" customHeight="false" outlineLevel="0" collapsed="false">
      <c r="A23" s="4" t="s">
        <v>23</v>
      </c>
      <c r="B23" s="9" t="n">
        <f aca="false">B13*Washers!K3</f>
        <v>520.464</v>
      </c>
      <c r="C23" s="9" t="n">
        <f aca="false">C13*Washers!K4</f>
        <v>488.32</v>
      </c>
    </row>
    <row r="24" customFormat="false" ht="15" hidden="false" customHeight="false" outlineLevel="0" collapsed="false">
      <c r="A24" s="4" t="s">
        <v>24</v>
      </c>
      <c r="B24" s="10" t="n">
        <f aca="false">Washers!B3+Inputs!$B$12</f>
        <v>50.6</v>
      </c>
      <c r="C24" s="10" t="n">
        <f aca="false">Washers!B4+Inputs!$B$12</f>
        <v>40.6</v>
      </c>
    </row>
    <row r="25" customFormat="false" ht="15" hidden="false" customHeight="false" outlineLevel="0" collapsed="false">
      <c r="A25" s="4" t="s">
        <v>25</v>
      </c>
      <c r="B25" s="10" t="n">
        <f aca="false">B24+2*Inputs!$B$11</f>
        <v>62.6</v>
      </c>
      <c r="C25" s="10" t="n">
        <f aca="false">C24+2*Inputs!$B$11</f>
        <v>52.6</v>
      </c>
    </row>
    <row r="26" customFormat="false" ht="15" hidden="false" customHeight="false" outlineLevel="0" collapsed="false">
      <c r="A26" s="4" t="s">
        <v>26</v>
      </c>
      <c r="B26" s="5" t="s">
        <v>27</v>
      </c>
      <c r="C26" s="5" t="s">
        <v>28</v>
      </c>
    </row>
    <row r="27" customFormat="false" ht="15" hidden="false" customHeight="false" outlineLevel="0" collapsed="false">
      <c r="A27" s="4" t="s">
        <v>29</v>
      </c>
      <c r="B27" s="12"/>
      <c r="C27" s="12"/>
    </row>
    <row r="28" customFormat="false" ht="15" hidden="false" customHeight="false" outlineLevel="0" collapsed="false">
      <c r="A28" s="4" t="s">
        <v>30</v>
      </c>
      <c r="B28" s="13" t="str">
        <f aca="false">IF(B27="","",B27*B13)</f>
        <v/>
      </c>
      <c r="C28" s="13" t="str">
        <f aca="false">IF(C27="","",C27*C13)</f>
        <v/>
      </c>
    </row>
    <row r="30" customFormat="false" ht="15" hidden="false" customHeight="true" outlineLevel="0" collapsed="false">
      <c r="A30" s="14" t="s">
        <v>31</v>
      </c>
      <c r="B30" s="14"/>
      <c r="C30" s="14"/>
    </row>
    <row r="31" customFormat="false" ht="45.75" hidden="false" customHeight="true" outlineLevel="0" collapsed="false">
      <c r="A31" s="15" t="s">
        <v>32</v>
      </c>
      <c r="B31" s="15"/>
      <c r="C31" s="15"/>
    </row>
    <row r="32" customFormat="false" ht="45.75" hidden="false" customHeight="true" outlineLevel="0" collapsed="false">
      <c r="A32" s="15" t="s">
        <v>33</v>
      </c>
      <c r="B32" s="15"/>
      <c r="C32" s="15"/>
    </row>
    <row r="33" customFormat="false" ht="45.75" hidden="false" customHeight="true" outlineLevel="0" collapsed="false">
      <c r="A33" s="15" t="s">
        <v>34</v>
      </c>
      <c r="B33" s="15"/>
      <c r="C33" s="15"/>
    </row>
    <row r="34" customFormat="false" ht="15" hidden="false" customHeight="true" outlineLevel="0" collapsed="false">
      <c r="A34" s="14" t="s">
        <v>35</v>
      </c>
      <c r="B34" s="14"/>
      <c r="C34" s="14"/>
    </row>
    <row r="35" customFormat="false" ht="45.75" hidden="false" customHeight="true" outlineLevel="0" collapsed="false">
      <c r="A35" s="15" t="s">
        <v>36</v>
      </c>
      <c r="B35" s="15"/>
      <c r="C35" s="15"/>
    </row>
    <row r="36" customFormat="false" ht="45.75" hidden="false" customHeight="true" outlineLevel="0" collapsed="false">
      <c r="A36" s="15" t="s">
        <v>37</v>
      </c>
      <c r="B36" s="15"/>
      <c r="C36" s="15"/>
    </row>
    <row r="37" customFormat="false" ht="45.75" hidden="false" customHeight="true" outlineLevel="0" collapsed="false">
      <c r="A37" s="15" t="s">
        <v>38</v>
      </c>
      <c r="B37" s="15"/>
      <c r="C37" s="15"/>
    </row>
    <row r="38" customFormat="false" ht="15" hidden="false" customHeight="true" outlineLevel="0" collapsed="false">
      <c r="A38" s="14" t="s">
        <v>39</v>
      </c>
      <c r="B38" s="14"/>
      <c r="C38" s="14"/>
    </row>
    <row r="39" customFormat="false" ht="45.75" hidden="false" customHeight="true" outlineLevel="0" collapsed="false">
      <c r="A39" s="15" t="s">
        <v>40</v>
      </c>
      <c r="B39" s="15"/>
      <c r="C39" s="15"/>
    </row>
    <row r="40" customFormat="false" ht="15" hidden="false" customHeight="true" outlineLevel="0" collapsed="false">
      <c r="A40" s="14" t="s">
        <v>41</v>
      </c>
      <c r="B40" s="14"/>
      <c r="C40" s="14"/>
    </row>
    <row r="41" customFormat="false" ht="45.75" hidden="false" customHeight="true" outlineLevel="0" collapsed="false">
      <c r="A41" s="15" t="s">
        <v>42</v>
      </c>
      <c r="B41" s="15"/>
      <c r="C41" s="15"/>
    </row>
  </sheetData>
  <mergeCells count="12">
    <mergeCell ref="A30:C30"/>
    <mergeCell ref="A31:C31"/>
    <mergeCell ref="A32:C32"/>
    <mergeCell ref="A33:C33"/>
    <mergeCell ref="A34:C34"/>
    <mergeCell ref="A35:C35"/>
    <mergeCell ref="A36:C36"/>
    <mergeCell ref="A37:C37"/>
    <mergeCell ref="A38:C38"/>
    <mergeCell ref="A39:C39"/>
    <mergeCell ref="A40:C40"/>
    <mergeCell ref="A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80"/>
  </cols>
  <sheetData>
    <row r="1" customFormat="false" ht="16.15" hidden="false" customHeight="false" outlineLevel="0" collapsed="false">
      <c r="A1" s="1" t="s">
        <v>43</v>
      </c>
    </row>
    <row r="2" customFormat="false" ht="15" hidden="false" customHeight="false" outlineLevel="0" collapsed="false">
      <c r="A2" s="16" t="s">
        <v>44</v>
      </c>
      <c r="B2" s="17" t="n">
        <v>8.2</v>
      </c>
      <c r="C2" s="2" t="s">
        <v>45</v>
      </c>
    </row>
    <row r="3" customFormat="false" ht="15" hidden="false" customHeight="false" outlineLevel="0" collapsed="false">
      <c r="A3" s="16" t="s">
        <v>46</v>
      </c>
      <c r="B3" s="17" t="n">
        <v>2.5</v>
      </c>
      <c r="C3" s="2" t="s">
        <v>47</v>
      </c>
    </row>
    <row r="4" customFormat="false" ht="15" hidden="false" customHeight="false" outlineLevel="0" collapsed="false">
      <c r="A4" s="16" t="s">
        <v>48</v>
      </c>
      <c r="B4" s="17" t="n">
        <v>0.5</v>
      </c>
      <c r="C4" s="2" t="s">
        <v>49</v>
      </c>
    </row>
    <row r="5" customFormat="false" ht="15" hidden="false" customHeight="false" outlineLevel="0" collapsed="false">
      <c r="A5" s="16" t="s">
        <v>50</v>
      </c>
      <c r="B5" s="17" t="n">
        <v>0.65</v>
      </c>
      <c r="C5" s="2" t="s">
        <v>51</v>
      </c>
    </row>
    <row r="6" customFormat="false" ht="15" hidden="false" customHeight="false" outlineLevel="0" collapsed="false">
      <c r="A6" s="16" t="s">
        <v>52</v>
      </c>
      <c r="B6" s="18" t="n">
        <v>80</v>
      </c>
      <c r="C6" s="2" t="s">
        <v>53</v>
      </c>
    </row>
    <row r="7" customFormat="false" ht="15" hidden="false" customHeight="false" outlineLevel="0" collapsed="false">
      <c r="A7" s="16" t="s">
        <v>54</v>
      </c>
      <c r="B7" s="17" t="n">
        <v>5.5</v>
      </c>
      <c r="C7" s="2" t="s">
        <v>55</v>
      </c>
    </row>
    <row r="8" customFormat="false" ht="15" hidden="false" customHeight="false" outlineLevel="0" collapsed="false">
      <c r="A8" s="16" t="s">
        <v>56</v>
      </c>
      <c r="B8" s="17" t="n">
        <v>5</v>
      </c>
      <c r="C8" s="2" t="s">
        <v>57</v>
      </c>
    </row>
    <row r="9" customFormat="false" ht="15" hidden="false" customHeight="false" outlineLevel="0" collapsed="false">
      <c r="A9" s="16" t="s">
        <v>58</v>
      </c>
      <c r="B9" s="17" t="n">
        <v>0.9</v>
      </c>
      <c r="C9" s="2" t="s">
        <v>59</v>
      </c>
    </row>
    <row r="10" customFormat="false" ht="15" hidden="false" customHeight="false" outlineLevel="0" collapsed="false">
      <c r="A10" s="16" t="s">
        <v>60</v>
      </c>
      <c r="B10" s="19" t="n">
        <f aca="false">PI()*B6^2/4*B7/10/1000*B8*B9</f>
        <v>12.4407069082156</v>
      </c>
      <c r="C10" s="2" t="s">
        <v>61</v>
      </c>
    </row>
    <row r="11" customFormat="false" ht="15" hidden="false" customHeight="false" outlineLevel="0" collapsed="false">
      <c r="A11" s="16" t="s">
        <v>62</v>
      </c>
      <c r="B11" s="18" t="n">
        <v>6</v>
      </c>
      <c r="C11" s="2" t="s">
        <v>63</v>
      </c>
    </row>
    <row r="12" customFormat="false" ht="15" hidden="false" customHeight="false" outlineLevel="0" collapsed="false">
      <c r="A12" s="16" t="s">
        <v>64</v>
      </c>
      <c r="B12" s="17" t="n">
        <v>0.6</v>
      </c>
      <c r="C12"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1" min="2" style="0" width="11"/>
  </cols>
  <sheetData>
    <row r="1" customFormat="false" ht="16.15" hidden="false" customHeight="false" outlineLevel="0" collapsed="false">
      <c r="A1" s="1" t="s">
        <v>66</v>
      </c>
    </row>
    <row r="2" customFormat="false" ht="30" hidden="false" customHeight="true" outlineLevel="0" collapsed="false">
      <c r="A2" s="20" t="s">
        <v>67</v>
      </c>
      <c r="B2" s="20" t="s">
        <v>68</v>
      </c>
      <c r="C2" s="20" t="s">
        <v>69</v>
      </c>
      <c r="D2" s="20" t="s">
        <v>70</v>
      </c>
      <c r="E2" s="20" t="s">
        <v>71</v>
      </c>
      <c r="F2" s="20" t="s">
        <v>72</v>
      </c>
      <c r="G2" s="20" t="s">
        <v>73</v>
      </c>
      <c r="H2" s="20" t="s">
        <v>74</v>
      </c>
      <c r="I2" s="20" t="s">
        <v>75</v>
      </c>
      <c r="J2" s="20" t="s">
        <v>76</v>
      </c>
      <c r="K2" s="20" t="s">
        <v>77</v>
      </c>
    </row>
    <row r="3" customFormat="false" ht="15" hidden="false" customHeight="false" outlineLevel="0" collapsed="false">
      <c r="A3" s="4" t="s">
        <v>78</v>
      </c>
      <c r="B3" s="21" t="n">
        <v>50</v>
      </c>
      <c r="C3" s="21" t="n">
        <v>25.4</v>
      </c>
      <c r="D3" s="21" t="n">
        <v>3</v>
      </c>
      <c r="E3" s="21" t="n">
        <v>1.1</v>
      </c>
      <c r="F3" s="21" t="n">
        <v>4.1</v>
      </c>
      <c r="G3" s="21" t="n">
        <v>4.25</v>
      </c>
      <c r="H3" s="21" t="n">
        <v>8.21</v>
      </c>
      <c r="I3" s="21" t="n">
        <v>12</v>
      </c>
      <c r="J3" s="21" t="n">
        <v>15.6</v>
      </c>
      <c r="K3" s="21" t="n">
        <v>32.529</v>
      </c>
    </row>
    <row r="4" customFormat="false" ht="15" hidden="false" customHeight="false" outlineLevel="0" collapsed="false">
      <c r="A4" s="4" t="s">
        <v>79</v>
      </c>
      <c r="B4" s="21" t="n">
        <v>40</v>
      </c>
      <c r="C4" s="21" t="n">
        <v>20.4</v>
      </c>
      <c r="D4" s="21" t="n">
        <v>2.25</v>
      </c>
      <c r="E4" s="21" t="n">
        <v>0.9</v>
      </c>
      <c r="F4" s="21" t="n">
        <v>3.15</v>
      </c>
      <c r="G4" s="21" t="n">
        <v>2.34</v>
      </c>
      <c r="H4" s="21" t="n">
        <v>4.48</v>
      </c>
      <c r="I4" s="21" t="n">
        <v>6.5</v>
      </c>
      <c r="J4" s="21" t="n">
        <v>8.46</v>
      </c>
      <c r="K4" s="21" t="n">
        <v>15.26</v>
      </c>
    </row>
    <row r="6" customFormat="false" ht="15" hidden="false" customHeight="false" outlineLevel="0" collapsed="false">
      <c r="A6" s="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2026-10-26T11:12:28Z</dcterms:created>
  <dc:creator>openpyxl</dc:creator>
  <dc:description/>
  <dc:language>en-US</dc:language>
  <cp:lastModifiedBy/>
  <dcterms:modified xsi:type="dcterms:W3CDTF">2026-10-26T11:12:28Z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